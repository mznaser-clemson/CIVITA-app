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anlucaCusatis\Documents\concrete-grand-challenge-database\spreadsheet\"/>
    </mc:Choice>
  </mc:AlternateContent>
  <xr:revisionPtr revIDLastSave="0" documentId="13_ncr:1_{55CAC572-0C07-490F-B417-BBE547FE6F0E}" xr6:coauthVersionLast="47" xr6:coauthVersionMax="47" xr10:uidLastSave="{00000000-0000-0000-0000-000000000000}"/>
  <bookViews>
    <workbookView xWindow="675" yWindow="690" windowWidth="27705" windowHeight="14505" firstSheet="8" activeTab="15" xr2:uid="{00000000-000D-0000-FFFF-FFFF00000000}"/>
  </bookViews>
  <sheets>
    <sheet name="release_notes" sheetId="11" r:id="rId1"/>
    <sheet name="literature_sources" sheetId="1" r:id="rId2"/>
    <sheet name="keywords" sheetId="13" r:id="rId3"/>
    <sheet name="material_batches" sheetId="2" r:id="rId4"/>
    <sheet name="reinforcement_materials" sheetId="17" r:id="rId5"/>
    <sheet name="geometries" sheetId="9" r:id="rId6"/>
    <sheet name="printing_variables" sheetId="14" r:id="rId7"/>
    <sheet name="reinforcement_layouts" sheetId="16" r:id="rId8"/>
    <sheet name="reinforcement_components" sheetId="8" r:id="rId9"/>
    <sheet name="specimens" sheetId="15" r:id="rId10"/>
    <sheet name="tests" sheetId="3" r:id="rId11"/>
    <sheet name="devices_and_supports" sheetId="10" r:id="rId12"/>
    <sheet name="loading_histories" sheetId="12" r:id="rId13"/>
    <sheet name="data" sheetId="4" r:id="rId14"/>
    <sheet name="validation" sheetId="18" r:id="rId15"/>
    <sheet name="vocab" sheetId="6" r:id="rId16"/>
  </sheets>
  <definedNames>
    <definedName name="adhesive_type_list">vocab!$AI$2:$AI$100</definedName>
    <definedName name="aggregate_type_list">vocab!$S$2:$S$100</definedName>
    <definedName name="air_entrainment_type_list">vocab!$P$2:$P$100</definedName>
    <definedName name="anchorage_type_list">vocab!$AJ$2:$AJ$100</definedName>
    <definedName name="bar_nominal_area_mm2_list">vocab!$AM$2:$AM$100</definedName>
    <definedName name="bar_nominal_diameter_mm_list">vocab!$AL$2:$AL$100</definedName>
    <definedName name="cement_type_list">vocab!$U$2:'vocab'!$U$100</definedName>
    <definedName name="curing_condition_list">vocab!$AE$2:$AE$100</definedName>
    <definedName name="data_origin_type_list">vocab!$Z$2:$Z$100</definedName>
    <definedName name="data_type_list">vocab!$I$2:$I$100</definedName>
    <definedName name="device_type_list">vocab!$W$2:$W$1000</definedName>
    <definedName name="extraction_method_list">vocab!$K$2:$K$100</definedName>
    <definedName name="fiber_type_list">vocab!$T$2:$T$100</definedName>
    <definedName name="hydration_accelerator_type_list">vocab!$R$2:$R$100</definedName>
    <definedName name="hygral_boundary_condition_list">vocab!$F$2:$F$14</definedName>
    <definedName name="image_type_list">vocab!$Y$2:$Y$100</definedName>
    <definedName name="loading_control_variable_list">vocab!$AA$2:$AA$100</definedName>
    <definedName name="loading_mode_list">vocab!$H$2:$H$100</definedName>
    <definedName name="material_class_list">vocab!$B$2:$B$100</definedName>
    <definedName name="observed_mechanism_list">vocab!$E$2:$E$1000</definedName>
    <definedName name="orientation_list">vocab!$L$2:$L$7</definedName>
    <definedName name="quantity_reported_type_list">vocab!$J$2:$J$15</definedName>
    <definedName name="reinforcement_material_list">vocab!$AF$2:$AF$100</definedName>
    <definedName name="reinforcement_type_list">vocab!$AG$2:$AG$100</definedName>
    <definedName name="reported_quantity_list">vocab!$V$2:$V$1000</definedName>
    <definedName name="rheology_modifier_type_list">vocab!$Q$2:$Q$100</definedName>
    <definedName name="source_type_list">vocab!$A$2:$A$100</definedName>
    <definedName name="specimen_geometry_parameter_list">vocab!$AD$2:$AD$80</definedName>
    <definedName name="specimen_geometry_type_list">vocab!$AB$2:$AB$98</definedName>
    <definedName name="standard_designation_bar_list">vocab!$AK$2:$AK$100</definedName>
    <definedName name="structural_form_list">vocab!$AC$2:$AC$97</definedName>
    <definedName name="superplasticizer_type_list">vocab!$N$2:$N$100</definedName>
    <definedName name="thermal_boundary_condition_list">vocab!$G$2:$G$25</definedName>
    <definedName name="units_type_list">vocab!$AN$2:$AN$1000</definedName>
    <definedName name="water_reducer_type_list">vocab!$O$2:$O$100</definedName>
    <definedName name="yes_no_list">vocab!$M$2:$M$100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2" i="8" l="1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K3" i="8"/>
  <c r="J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Bibliographic information only. Do not repeat batch, test, or curve data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L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Material composition only. Do not repeat specimen/test-specific information 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S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Test-level information only. Do not repeat data-object or extracted-value information here.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Gianluca Cusatis</author>
  </authors>
  <commentList>
    <comment ref="F2" authorId="0" shapeId="0" xr:uid="{E9B39186-0E21-4566-A4E4-2338EC047CD4}">
      <text>
        <r>
          <rPr>
            <b/>
            <sz val="9"/>
            <color indexed="81"/>
            <rFont val="Tahoma"/>
            <family val="2"/>
          </rPr>
          <t xml:space="preserve">
Gianluca Cusatis:
</t>
        </r>
        <r>
          <rPr>
            <sz val="9"/>
            <color indexed="81"/>
            <rFont val="Tahoma"/>
            <family val="2"/>
          </rPr>
          <t>Add specif location within the source: e.g. Fig. 1, 
Table 4, Section 2, etc.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Gianluca Cusatis</author>
  </authors>
  <commentList>
    <comment ref="C3" authorId="0" shapeId="0" xr:uid="{2AD57153-9A92-4590-B0DB-21BF4E3E2FB8}">
      <text>
        <r>
          <rPr>
            <b/>
            <sz val="9"/>
            <color indexed="81"/>
            <rFont val="Tahoma"/>
            <family val="2"/>
          </rPr>
          <t>Gianluca Cusatis:</t>
        </r>
        <r>
          <rPr>
            <sz val="9"/>
            <color indexed="81"/>
            <rFont val="Tahoma"/>
            <family val="2"/>
          </rPr>
          <t xml:space="preserve">
highlited tests have an associated parametrization defined in the corresponding library.</t>
        </r>
      </text>
    </comment>
  </commentList>
</comments>
</file>

<file path=xl/sharedStrings.xml><?xml version="1.0" encoding="utf-8"?>
<sst xmlns="http://schemas.openxmlformats.org/spreadsheetml/2006/main" count="1575" uniqueCount="1384">
  <si>
    <t>source_id</t>
  </si>
  <si>
    <t>source_type</t>
  </si>
  <si>
    <t>title</t>
  </si>
  <si>
    <t>authors</t>
  </si>
  <si>
    <t>year</t>
  </si>
  <si>
    <t>journal_or_publisher</t>
  </si>
  <si>
    <t>volume</t>
  </si>
  <si>
    <t>issue</t>
  </si>
  <si>
    <t>pages</t>
  </si>
  <si>
    <t>doi</t>
  </si>
  <si>
    <t>url</t>
  </si>
  <si>
    <t>institution</t>
  </si>
  <si>
    <t>notes</t>
  </si>
  <si>
    <t>SRC0001</t>
  </si>
  <si>
    <t>journal_article</t>
  </si>
  <si>
    <t>Compressive behavior of concrete cylinders</t>
  </si>
  <si>
    <t>Smith et al.</t>
  </si>
  <si>
    <t>Cement and Concrete Research</t>
  </si>
  <si>
    <t>120</t>
  </si>
  <si>
    <t>123-135</t>
  </si>
  <si>
    <t>10.xxxx/xxxxx</t>
  </si>
  <si>
    <t>batch_id</t>
  </si>
  <si>
    <t>batch_label</t>
  </si>
  <si>
    <t>material_class</t>
  </si>
  <si>
    <t>cement_type</t>
  </si>
  <si>
    <t>cement_content_kg_m3</t>
  </si>
  <si>
    <t>water_binder_ratio</t>
  </si>
  <si>
    <t>silica_fume_content_kg_m3</t>
  </si>
  <si>
    <t>fly_ash_content_kg_m3</t>
  </si>
  <si>
    <t>fly_ash_class</t>
  </si>
  <si>
    <t>slag_content_kg_m3</t>
  </si>
  <si>
    <t>fine_aggregate_content_kg_m3</t>
  </si>
  <si>
    <t>fine_aggregate_dry_density_kg_m3</t>
  </si>
  <si>
    <t>coarse_aggregate_content_kg_m3</t>
  </si>
  <si>
    <t>max_aggregate_size_mm</t>
  </si>
  <si>
    <t>aggregate_type</t>
  </si>
  <si>
    <t>superplasticizer_type</t>
  </si>
  <si>
    <t>superplasticizer_content_kg_m3</t>
  </si>
  <si>
    <t>fiber_type</t>
  </si>
  <si>
    <t>fiber_product_name</t>
  </si>
  <si>
    <t>fiber_volume_fraction</t>
  </si>
  <si>
    <t>fiber_length_mm</t>
  </si>
  <si>
    <t>fiber_diameter_mm</t>
  </si>
  <si>
    <t>air_content_percent_volume_concrete</t>
  </si>
  <si>
    <t>date_of_pouring_yyyy-mm-dd</t>
  </si>
  <si>
    <t>Mix A</t>
  </si>
  <si>
    <t>ASTM_C150_Type_I</t>
  </si>
  <si>
    <t>test_id</t>
  </si>
  <si>
    <t>test_type</t>
  </si>
  <si>
    <t>test_setup_visualization_file_name</t>
  </si>
  <si>
    <t>loading_mode</t>
  </si>
  <si>
    <t>loading_history_file_name</t>
  </si>
  <si>
    <t>longitudinal_reinforcement</t>
  </si>
  <si>
    <t>age_days</t>
  </si>
  <si>
    <t>curing_condition</t>
  </si>
  <si>
    <t>test_date_yyyy-mm-dd</t>
  </si>
  <si>
    <t>C-1</t>
  </si>
  <si>
    <t>monotonic</t>
  </si>
  <si>
    <t>bar_designation</t>
  </si>
  <si>
    <t>bar_nominal_area_mm2</t>
  </si>
  <si>
    <t>layer_depth_mm</t>
  </si>
  <si>
    <t>spacing_mm</t>
  </si>
  <si>
    <t>stress_strain_curve_file</t>
  </si>
  <si>
    <t>elastic_modulus_mpa</t>
  </si>
  <si>
    <t>rupture_strength_mpa</t>
  </si>
  <si>
    <t>yield_strength_mpa</t>
  </si>
  <si>
    <t>REF0001</t>
  </si>
  <si>
    <t>ASTM_#8</t>
  </si>
  <si>
    <t>REF0001_stress_strain_raw.csv</t>
  </si>
  <si>
    <t>data_id</t>
  </si>
  <si>
    <t>data_type</t>
  </si>
  <si>
    <t>x_quantity_reported</t>
  </si>
  <si>
    <t>y_quantity_reported</t>
  </si>
  <si>
    <t>x_device_id</t>
  </si>
  <si>
    <t>y_device_id</t>
  </si>
  <si>
    <t>file_name</t>
  </si>
  <si>
    <t>source_location</t>
  </si>
  <si>
    <t>DAT0001</t>
  </si>
  <si>
    <t>curve</t>
  </si>
  <si>
    <t>strain</t>
  </si>
  <si>
    <t>stress</t>
  </si>
  <si>
    <t>extensometer</t>
  </si>
  <si>
    <t>load_cell</t>
  </si>
  <si>
    <t>DAT0001_stress_strain_raw.csv</t>
  </si>
  <si>
    <t>mm/mm</t>
  </si>
  <si>
    <t>MPa</t>
  </si>
  <si>
    <t>DAT0002</t>
  </si>
  <si>
    <t>deflection</t>
  </si>
  <si>
    <t>load</t>
  </si>
  <si>
    <t>LVDT</t>
  </si>
  <si>
    <t>DAT0002_load_deflection.csv</t>
  </si>
  <si>
    <t>mm</t>
  </si>
  <si>
    <t>kN</t>
  </si>
  <si>
    <t>DAT0003</t>
  </si>
  <si>
    <t>time</t>
  </si>
  <si>
    <t>crack_opening</t>
  </si>
  <si>
    <t>CMOD_gauge</t>
  </si>
  <si>
    <t>DAT0003_load_CMOD.csv</t>
  </si>
  <si>
    <t>CMOD</t>
  </si>
  <si>
    <t>DAT0004</t>
  </si>
  <si>
    <t>field</t>
  </si>
  <si>
    <t>DIC</t>
  </si>
  <si>
    <t>DAT0004_DIC_disp_field.csv</t>
  </si>
  <si>
    <t>DAT0005</t>
  </si>
  <si>
    <t>image</t>
  </si>
  <si>
    <t>camera</t>
  </si>
  <si>
    <t>DAT0005_crack_01.jpg</t>
  </si>
  <si>
    <t>units</t>
  </si>
  <si>
    <t>extraction_date_yyyy-mm-dd</t>
  </si>
  <si>
    <t>direct</t>
  </si>
  <si>
    <t>digitized</t>
  </si>
  <si>
    <t>source_type_list</t>
  </si>
  <si>
    <t>material_class_list</t>
  </si>
  <si>
    <t>test_type_list</t>
  </si>
  <si>
    <t>loading_mode_list</t>
  </si>
  <si>
    <t>data_type_list</t>
  </si>
  <si>
    <t>extraction_method_list</t>
  </si>
  <si>
    <t>yes_no_list</t>
  </si>
  <si>
    <t>superplasticizer_type_list</t>
  </si>
  <si>
    <t>aggregate_type_list</t>
  </si>
  <si>
    <t>fiber_type_list</t>
  </si>
  <si>
    <t>cement_type_list</t>
  </si>
  <si>
    <t>reported_quantity_list</t>
  </si>
  <si>
    <t>image_type_list</t>
  </si>
  <si>
    <t>data_origin_type_list</t>
  </si>
  <si>
    <t>loading_control_variable_list</t>
  </si>
  <si>
    <t>specimen_geometry_type_list</t>
  </si>
  <si>
    <t>curing_condition_list</t>
  </si>
  <si>
    <t>reinforcement_type_list</t>
  </si>
  <si>
    <t>bar_nominal_diameter_mm_list</t>
  </si>
  <si>
    <t>bar_nominal_area_mm2_list</t>
  </si>
  <si>
    <t>normal_weight</t>
  </si>
  <si>
    <t>raw</t>
  </si>
  <si>
    <t>yes</t>
  </si>
  <si>
    <t>limestone</t>
  </si>
  <si>
    <t>figure_plot</t>
  </si>
  <si>
    <t>figure</t>
  </si>
  <si>
    <t>cylinder</t>
  </si>
  <si>
    <t>standard_moist_curing</t>
  </si>
  <si>
    <t>ASTM_#3</t>
  </si>
  <si>
    <t>conference_paper</t>
  </si>
  <si>
    <t>cyclic</t>
  </si>
  <si>
    <t>no</t>
  </si>
  <si>
    <t>lignosulfonate</t>
  </si>
  <si>
    <t>dolomite</t>
  </si>
  <si>
    <t>steel_straight</t>
  </si>
  <si>
    <t>ASTM_C150_Type_II</t>
  </si>
  <si>
    <t>crack_pattern</t>
  </si>
  <si>
    <t>table</t>
  </si>
  <si>
    <t>displacement</t>
  </si>
  <si>
    <t>cube</t>
  </si>
  <si>
    <t>water_curing</t>
  </si>
  <si>
    <t>ASTM_#4</t>
  </si>
  <si>
    <t>report</t>
  </si>
  <si>
    <t>impulsive</t>
  </si>
  <si>
    <t>scalar</t>
  </si>
  <si>
    <t>computed</t>
  </si>
  <si>
    <t>naphthalene_sulfonate</t>
  </si>
  <si>
    <t>granite</t>
  </si>
  <si>
    <t>steel_hooked</t>
  </si>
  <si>
    <t>ASTM_C150_Type_III</t>
  </si>
  <si>
    <t>crack_detail</t>
  </si>
  <si>
    <t>text</t>
  </si>
  <si>
    <t>prism</t>
  </si>
  <si>
    <t>lime_saturated_water</t>
  </si>
  <si>
    <t>ASTM_#5</t>
  </si>
  <si>
    <t>mortar</t>
  </si>
  <si>
    <t>melamine_sulfonate</t>
  </si>
  <si>
    <t>basalt</t>
  </si>
  <si>
    <t>steel_crimped</t>
  </si>
  <si>
    <t>ASTM_C150_Type_IV</t>
  </si>
  <si>
    <t>clip_gauge</t>
  </si>
  <si>
    <t>failure</t>
  </si>
  <si>
    <t>supplementary</t>
  </si>
  <si>
    <t>beam</t>
  </si>
  <si>
    <t>sealed_curing</t>
  </si>
  <si>
    <t>ties</t>
  </si>
  <si>
    <t>ASTM_#6</t>
  </si>
  <si>
    <t>dataset</t>
  </si>
  <si>
    <t>other</t>
  </si>
  <si>
    <t>video</t>
  </si>
  <si>
    <t>polycarboxylate_ether</t>
  </si>
  <si>
    <t>quartzite</t>
  </si>
  <si>
    <t>steel_twisted</t>
  </si>
  <si>
    <t>ASTM_C150_Type_V</t>
  </si>
  <si>
    <t>deformation</t>
  </si>
  <si>
    <t>dogbone</t>
  </si>
  <si>
    <t>air_curing</t>
  </si>
  <si>
    <t>ASTM_#7</t>
  </si>
  <si>
    <t>book_chapter</t>
  </si>
  <si>
    <t>four_point_bending</t>
  </si>
  <si>
    <t>polycarboxylate_modified</t>
  </si>
  <si>
    <t>sandstone</t>
  </si>
  <si>
    <t>steel_hybrid</t>
  </si>
  <si>
    <t>ASTM_C595_Type_IL</t>
  </si>
  <si>
    <t>strain_gauge</t>
  </si>
  <si>
    <t>specimen</t>
  </si>
  <si>
    <t>unknown</t>
  </si>
  <si>
    <t>laboratory_air</t>
  </si>
  <si>
    <t>derived</t>
  </si>
  <si>
    <t>gravel_natural</t>
  </si>
  <si>
    <t>polypropylene_micro</t>
  </si>
  <si>
    <t>ASTM_C595_Type_IP</t>
  </si>
  <si>
    <t>rotation</t>
  </si>
  <si>
    <t>test_setup</t>
  </si>
  <si>
    <t>controlled_environment</t>
  </si>
  <si>
    <t>ASTM_#9</t>
  </si>
  <si>
    <t>mid_range_water_reducer</t>
  </si>
  <si>
    <t>gravel_crushed</t>
  </si>
  <si>
    <t>polypropylene_macro</t>
  </si>
  <si>
    <t>ASTM_C595_Type_IS_LT70</t>
  </si>
  <si>
    <t>CTOD_gauge</t>
  </si>
  <si>
    <t>instrumentation</t>
  </si>
  <si>
    <t>steam_curing</t>
  </si>
  <si>
    <t>ASTM_#10</t>
  </si>
  <si>
    <t>river_gravel</t>
  </si>
  <si>
    <t>polyethylene</t>
  </si>
  <si>
    <t>ASTM_C595_Type_IT_S_LT70</t>
  </si>
  <si>
    <t>CTOD</t>
  </si>
  <si>
    <t>field_map</t>
  </si>
  <si>
    <t>heat_curing</t>
  </si>
  <si>
    <t>ASTM_#11</t>
  </si>
  <si>
    <t>siliceous</t>
  </si>
  <si>
    <t>polyvinyl_alcohol</t>
  </si>
  <si>
    <t>ASTM_C595_Type_IL_HE</t>
  </si>
  <si>
    <t>temperature</t>
  </si>
  <si>
    <t>laser_sensor</t>
  </si>
  <si>
    <t>microstructure</t>
  </si>
  <si>
    <t>autoclave_curing</t>
  </si>
  <si>
    <t>ASTM_#14</t>
  </si>
  <si>
    <t>calcareous</t>
  </si>
  <si>
    <t>glass</t>
  </si>
  <si>
    <t>ASTM_C595_Type_IP_HE</t>
  </si>
  <si>
    <t>humidity</t>
  </si>
  <si>
    <t>laser_displacement_sensor</t>
  </si>
  <si>
    <t>table_image</t>
  </si>
  <si>
    <t>membrane_curing</t>
  </si>
  <si>
    <t>ASTM_#18</t>
  </si>
  <si>
    <t>recycled_concrete</t>
  </si>
  <si>
    <t>carbon</t>
  </si>
  <si>
    <t>ASTM_C595_Type_IS_LT70_HE</t>
  </si>
  <si>
    <t>mass</t>
  </si>
  <si>
    <t>fog_room</t>
  </si>
  <si>
    <t>EN_Ø6</t>
  </si>
  <si>
    <t>recycled_masonry</t>
  </si>
  <si>
    <t>ASTM_C595_Type_IT_S_LT70_HE</t>
  </si>
  <si>
    <t>density</t>
  </si>
  <si>
    <t>thermocouple</t>
  </si>
  <si>
    <t>field_curing</t>
  </si>
  <si>
    <t>EN_Ø8</t>
  </si>
  <si>
    <t>lightweight_expanded_clay</t>
  </si>
  <si>
    <t>aramid</t>
  </si>
  <si>
    <t>ASTM_C595_Type_IL_MS</t>
  </si>
  <si>
    <t>pressure</t>
  </si>
  <si>
    <t>temperature_sensor</t>
  </si>
  <si>
    <t>EN_Ø10</t>
  </si>
  <si>
    <t>lightweight_shale</t>
  </si>
  <si>
    <t>natural</t>
  </si>
  <si>
    <t>ASTM_C595_Type_IP_MS</t>
  </si>
  <si>
    <t>energy</t>
  </si>
  <si>
    <t>humidity_sensor</t>
  </si>
  <si>
    <t>EN_Ø12</t>
  </si>
  <si>
    <t>lightweight_slate</t>
  </si>
  <si>
    <t>recycled_polymer</t>
  </si>
  <si>
    <t>ASTM_C595_Type_IS_LT70_MS</t>
  </si>
  <si>
    <t>pressure_sensor</t>
  </si>
  <si>
    <t>EN_Ø14</t>
  </si>
  <si>
    <t>lightweight_pumice</t>
  </si>
  <si>
    <t>ASTM_C595_Type_IT_S_LT70_MS</t>
  </si>
  <si>
    <t>balance</t>
  </si>
  <si>
    <t>EN_Ø16</t>
  </si>
  <si>
    <t>slag</t>
  </si>
  <si>
    <t>ASTM_C595_Type_IL_HS</t>
  </si>
  <si>
    <t>data_logger</t>
  </si>
  <si>
    <t>EN_Ø20</t>
  </si>
  <si>
    <t>manufactured_sand</t>
  </si>
  <si>
    <t>ASTM_C595_Type_IP_HS</t>
  </si>
  <si>
    <t>EN_Ø25</t>
  </si>
  <si>
    <t>natural_sand</t>
  </si>
  <si>
    <t>ASTM_C595_Type_IS_LS70_HS</t>
  </si>
  <si>
    <t>high_speed_camera</t>
  </si>
  <si>
    <t>EN_Ø28</t>
  </si>
  <si>
    <t>ASTM_C595_Type_IT_S_LT70_HS</t>
  </si>
  <si>
    <t>microscope</t>
  </si>
  <si>
    <t>EN_Ø32</t>
  </si>
  <si>
    <t>ASTM_C1157_Type_GU</t>
  </si>
  <si>
    <t>EN_Ø40</t>
  </si>
  <si>
    <t>ASTM_C1157_Type_MH</t>
  </si>
  <si>
    <t>rotation_sensor</t>
  </si>
  <si>
    <t>GB_6</t>
  </si>
  <si>
    <t>ASTM_C1157_Type_HE</t>
  </si>
  <si>
    <t>GB_8</t>
  </si>
  <si>
    <t>ASTM_C1157_Type_LH</t>
  </si>
  <si>
    <t>GB_10</t>
  </si>
  <si>
    <t>ASTM_C1157_Type_MS</t>
  </si>
  <si>
    <t>GB_12</t>
  </si>
  <si>
    <t>ASTM_C1157_Type_HS</t>
  </si>
  <si>
    <t>GB_14</t>
  </si>
  <si>
    <t>EN197_CEM_I</t>
  </si>
  <si>
    <t>GB_16</t>
  </si>
  <si>
    <t>EN197_CEM_II</t>
  </si>
  <si>
    <t>GB_18</t>
  </si>
  <si>
    <t>EN197_CEM_III</t>
  </si>
  <si>
    <t>GB_20</t>
  </si>
  <si>
    <t>EN197_CEM_IV</t>
  </si>
  <si>
    <t>GB_22</t>
  </si>
  <si>
    <t>EN197_CEM_V</t>
  </si>
  <si>
    <t>GB_25</t>
  </si>
  <si>
    <t>GB175_PI</t>
  </si>
  <si>
    <t>GB_28</t>
  </si>
  <si>
    <t>GB175_PII</t>
  </si>
  <si>
    <t>GB_32</t>
  </si>
  <si>
    <t>GB175_PO</t>
  </si>
  <si>
    <t>GB_36</t>
  </si>
  <si>
    <t>GB175_PS</t>
  </si>
  <si>
    <t>GB_40</t>
  </si>
  <si>
    <t>GB175_PF</t>
  </si>
  <si>
    <t>JIS_D6</t>
  </si>
  <si>
    <t>GB175_PC</t>
  </si>
  <si>
    <t>JIS_D10</t>
  </si>
  <si>
    <t>JIS_D13</t>
  </si>
  <si>
    <t>JIS_D16</t>
  </si>
  <si>
    <t>JIS_D19</t>
  </si>
  <si>
    <t>JIS_D22</t>
  </si>
  <si>
    <t>JIS_D25</t>
  </si>
  <si>
    <t>JIS_D29</t>
  </si>
  <si>
    <t>JIS_D32</t>
  </si>
  <si>
    <t>JIS_D35</t>
  </si>
  <si>
    <t>JIS_D38</t>
  </si>
  <si>
    <t>JIS_D41</t>
  </si>
  <si>
    <t>black_steel</t>
  </si>
  <si>
    <t>galvanized_steel</t>
  </si>
  <si>
    <t>stainless_steel</t>
  </si>
  <si>
    <t>rupture_strain</t>
  </si>
  <si>
    <t>coarse_aggregate_dry_density_kg_m3</t>
  </si>
  <si>
    <t>water_reducer_type</t>
  </si>
  <si>
    <t>water_reducer_content_ml_m3</t>
  </si>
  <si>
    <t>air_entrainment_content_ml_m3</t>
  </si>
  <si>
    <t>begin_distance_mm</t>
  </si>
  <si>
    <t>end_distance_mm</t>
  </si>
  <si>
    <t>observed_mechanism_list</t>
  </si>
  <si>
    <t>reinforcement_material_list</t>
  </si>
  <si>
    <t>geometry_id</t>
  </si>
  <si>
    <t>notch_depth</t>
  </si>
  <si>
    <t>notch_width</t>
  </si>
  <si>
    <t>diameter</t>
  </si>
  <si>
    <t>GEO0001</t>
  </si>
  <si>
    <t>notched_cylinder</t>
  </si>
  <si>
    <t>ell_shape</t>
  </si>
  <si>
    <t>depth</t>
  </si>
  <si>
    <t>notch_offset</t>
  </si>
  <si>
    <t>notch_tip_radius</t>
  </si>
  <si>
    <t>dogbone_central_length</t>
  </si>
  <si>
    <t>dogbone_central_width</t>
  </si>
  <si>
    <t>dogbone_head_length</t>
  </si>
  <si>
    <t>ell_length_1</t>
  </si>
  <si>
    <t>ell_length_2</t>
  </si>
  <si>
    <t>ell_depth_1</t>
  </si>
  <si>
    <t>ell_depth_2</t>
  </si>
  <si>
    <t>no_curing</t>
  </si>
  <si>
    <t>hygral_boundary_condition_list</t>
  </si>
  <si>
    <t>sealed</t>
  </si>
  <si>
    <t>unsealed</t>
  </si>
  <si>
    <t>thermal_boundary_condition_list</t>
  </si>
  <si>
    <t>insulated</t>
  </si>
  <si>
    <t>uninsulated</t>
  </si>
  <si>
    <t>device_id</t>
  </si>
  <si>
    <t>DEV0001</t>
  </si>
  <si>
    <t>DEV0002</t>
  </si>
  <si>
    <t>DEV0003</t>
  </si>
  <si>
    <t>DEV0004</t>
  </si>
  <si>
    <t>DEV0005</t>
  </si>
  <si>
    <t>DEV0006</t>
  </si>
  <si>
    <t>DEV0007</t>
  </si>
  <si>
    <t>device_type</t>
  </si>
  <si>
    <t>y_quantity_reported_type</t>
  </si>
  <si>
    <t>x_quantity_reported_type</t>
  </si>
  <si>
    <t>specimen_label</t>
  </si>
  <si>
    <t>x_location_mm</t>
  </si>
  <si>
    <t>y_location_mm</t>
  </si>
  <si>
    <t>z_location_mm</t>
  </si>
  <si>
    <t>curator_first_name</t>
  </si>
  <si>
    <t>curator_last_name</t>
  </si>
  <si>
    <t>quantity_reported</t>
  </si>
  <si>
    <t>quantity_reported_type</t>
  </si>
  <si>
    <t>SCALAR</t>
  </si>
  <si>
    <t>CURVE</t>
  </si>
  <si>
    <t>table_description</t>
  </si>
  <si>
    <t>GENERAL</t>
  </si>
  <si>
    <t>table_file_name</t>
  </si>
  <si>
    <t>table_name</t>
  </si>
  <si>
    <t>TABLE</t>
  </si>
  <si>
    <t>IMAGE / VIDEO</t>
  </si>
  <si>
    <t>AI-assisted</t>
  </si>
  <si>
    <t>orientation_list</t>
  </si>
  <si>
    <t>x</t>
  </si>
  <si>
    <t>y</t>
  </si>
  <si>
    <t>z</t>
  </si>
  <si>
    <t>2_legs_stirrups</t>
  </si>
  <si>
    <t>dynamic</t>
  </si>
  <si>
    <t>normal_weight_concrete</t>
  </si>
  <si>
    <t>high_performance_concrete</t>
  </si>
  <si>
    <t>ultra_high_performance_concrete</t>
  </si>
  <si>
    <t>fiber_reinforced_concrete</t>
  </si>
  <si>
    <t>engineered_cementitious_composites</t>
  </si>
  <si>
    <t>lightweight_concrete</t>
  </si>
  <si>
    <t>cement_paste</t>
  </si>
  <si>
    <t>2D_field</t>
  </si>
  <si>
    <t>3D_field</t>
  </si>
  <si>
    <t>basalt_fiber_reinforced_polymer</t>
  </si>
  <si>
    <t>carbon_fiber_reinforced_polymer</t>
  </si>
  <si>
    <t>loading_id</t>
  </si>
  <si>
    <t>orientation</t>
  </si>
  <si>
    <t>control_variable_rate_units</t>
  </si>
  <si>
    <t>keyword</t>
  </si>
  <si>
    <t>Creep</t>
  </si>
  <si>
    <t>self_consolidating</t>
  </si>
  <si>
    <t>printable</t>
  </si>
  <si>
    <t>structural_form_type</t>
  </si>
  <si>
    <t>wraps</t>
  </si>
  <si>
    <t>helicoidal</t>
  </si>
  <si>
    <t>printing_id</t>
  </si>
  <si>
    <t>PRI0001</t>
  </si>
  <si>
    <t>structural_form_list</t>
  </si>
  <si>
    <t>slab</t>
  </si>
  <si>
    <t>wall</t>
  </si>
  <si>
    <t>column</t>
  </si>
  <si>
    <t>notched_prism</t>
  </si>
  <si>
    <t>heavyweight_concrete</t>
  </si>
  <si>
    <t>air_entrainment_type</t>
  </si>
  <si>
    <t>test_protocol_file_name</t>
  </si>
  <si>
    <t>quantity_reported_mean</t>
  </si>
  <si>
    <t>quantity_reported_standard_deviation</t>
  </si>
  <si>
    <t>UNDER DEVELOPMENT</t>
  </si>
  <si>
    <t>vertical_cover_mm</t>
  </si>
  <si>
    <t>peer_reviewed</t>
  </si>
  <si>
    <t>EXTERNAL REINFORCEMENT</t>
  </si>
  <si>
    <t>adhesive_type</t>
  </si>
  <si>
    <t>adhesive_thickness_mm</t>
  </si>
  <si>
    <t>adhesive_modulus_mpa</t>
  </si>
  <si>
    <t>adhesive_strength_mpa</t>
  </si>
  <si>
    <t>adhesive_failure_strain</t>
  </si>
  <si>
    <t>reinforcement_width_mm</t>
  </si>
  <si>
    <t>reinforcement_orientation</t>
  </si>
  <si>
    <t>inclined</t>
  </si>
  <si>
    <t>reinforcement_centroid_x_mm</t>
  </si>
  <si>
    <t>reinforcement_centroid_y_mm</t>
  </si>
  <si>
    <t>reinforcement_centroid_z_mm</t>
  </si>
  <si>
    <t>reinforcement_length_mm</t>
  </si>
  <si>
    <t>anchorage_presence</t>
  </si>
  <si>
    <t>anchorage_type</t>
  </si>
  <si>
    <t>anchorage_location_x_mm</t>
  </si>
  <si>
    <t>anchorage_location_y_mm</t>
  </si>
  <si>
    <t>anchorage_location_z_mm</t>
  </si>
  <si>
    <t>anchorage_modulus_mpa</t>
  </si>
  <si>
    <t>anchorage_strength_mpa</t>
  </si>
  <si>
    <t>anchorage_failure_strain</t>
  </si>
  <si>
    <t>reinforcement_thickness_mm</t>
  </si>
  <si>
    <t>reinforcement_angle_deg</t>
  </si>
  <si>
    <t>external_reinforcement</t>
  </si>
  <si>
    <t>PRESTRESSING</t>
  </si>
  <si>
    <t>Shrinkage</t>
  </si>
  <si>
    <t>dddd.csv</t>
  </si>
  <si>
    <t>initial_control_variable_rate</t>
  </si>
  <si>
    <t>begin_time_sec</t>
  </si>
  <si>
    <t>end_time_sec</t>
  </si>
  <si>
    <t>biaxial_compression_test</t>
  </si>
  <si>
    <t>splitting_tensile_test</t>
  </si>
  <si>
    <t>modulus_of_rupture_test</t>
  </si>
  <si>
    <t>gap_test</t>
  </si>
  <si>
    <t>direct_tensile_test</t>
  </si>
  <si>
    <t>wedge_splitting_test</t>
  </si>
  <si>
    <t>triaxial_test</t>
  </si>
  <si>
    <t>noru_mohammed_test</t>
  </si>
  <si>
    <t>double_punch_test</t>
  </si>
  <si>
    <t>true_triaxial_test</t>
  </si>
  <si>
    <t>torsion_compression_test</t>
  </si>
  <si>
    <t>hydrostatic_test</t>
  </si>
  <si>
    <t>uniaxial_strain_test</t>
  </si>
  <si>
    <t>slump_test</t>
  </si>
  <si>
    <t>thermogravimetric_analysis_test</t>
  </si>
  <si>
    <t>XRD_Rietveld_analysis_test</t>
  </si>
  <si>
    <t>ultrasonic_pulse_velocity_test</t>
  </si>
  <si>
    <t>mini_slump_test</t>
  </si>
  <si>
    <t>rotational_rheometry_test</t>
  </si>
  <si>
    <t>mercury_intrusion_porosimetry_test</t>
  </si>
  <si>
    <t>nuclear_magnetic_resonance_test</t>
  </si>
  <si>
    <t>scanning_electron_microscopy_test</t>
  </si>
  <si>
    <t>immersion_in_deionized_water_test</t>
  </si>
  <si>
    <t>flow_through_leaching_test</t>
  </si>
  <si>
    <t>vane_shear_test</t>
  </si>
  <si>
    <t>ICP_analysis_test</t>
  </si>
  <si>
    <t>electrical_resistivity_test</t>
  </si>
  <si>
    <t>immersion_in_acid_test</t>
  </si>
  <si>
    <t>fully_adiabatic_calorimetry_test</t>
  </si>
  <si>
    <t>expansion_measurement</t>
  </si>
  <si>
    <t>surface_resistivity_test</t>
  </si>
  <si>
    <t>chloride_profile_grinding</t>
  </si>
  <si>
    <t>gas_permeability_test</t>
  </si>
  <si>
    <t>accelerated_carbonation_test</t>
  </si>
  <si>
    <t>fiber_pullout_test</t>
  </si>
  <si>
    <t>creep_axial_compression_test</t>
  </si>
  <si>
    <t>creep_bending_test</t>
  </si>
  <si>
    <t>four_point_bending_test</t>
  </si>
  <si>
    <t>three_point_bending_test</t>
  </si>
  <si>
    <t>eccentric_axial_compression_test</t>
  </si>
  <si>
    <t>cyclic_lateral_test</t>
  </si>
  <si>
    <t>concrete_pullout_bond_test</t>
  </si>
  <si>
    <t>punching_shear_test</t>
  </si>
  <si>
    <t>corrosion_damaged_beam_test</t>
  </si>
  <si>
    <t>tension_chord_test</t>
  </si>
  <si>
    <t>hammer_test</t>
  </si>
  <si>
    <t>drop_weight_impact_test</t>
  </si>
  <si>
    <t>blast_test</t>
  </si>
  <si>
    <t>torsion_test</t>
  </si>
  <si>
    <t>strength | unconfined_compressive_failure</t>
  </si>
  <si>
    <t>strength | biaxial_failure</t>
  </si>
  <si>
    <t>strength | tensile_failure</t>
  </si>
  <si>
    <t>fracture | parallel_stress_effect</t>
  </si>
  <si>
    <t>fracture | fracture_propagation</t>
  </si>
  <si>
    <t>strength | multiaxial_failure</t>
  </si>
  <si>
    <t>fracture | mixed_mode_dilatancy</t>
  </si>
  <si>
    <t>strength | vertex_effect</t>
  </si>
  <si>
    <t>strength | compressive_strain_hardening</t>
  </si>
  <si>
    <t>fracture | mode_III</t>
  </si>
  <si>
    <t>fresh | workability</t>
  </si>
  <si>
    <t>chemical | mass_loss</t>
  </si>
  <si>
    <t>chemical | phase_assemblage</t>
  </si>
  <si>
    <t>fresh | setting</t>
  </si>
  <si>
    <t>fresh | spread_diameter</t>
  </si>
  <si>
    <t>fresh | rheology_evolution</t>
  </si>
  <si>
    <t>chemical | pore_structure</t>
  </si>
  <si>
    <t>chemical | microstructure_morphology</t>
  </si>
  <si>
    <t>durability | mass_loss</t>
  </si>
  <si>
    <t>chemical | ion_concentration</t>
  </si>
  <si>
    <t>chemical | degree_of_reaction</t>
  </si>
  <si>
    <t>thermal | adiabatic_temperature_rise</t>
  </si>
  <si>
    <t>durability | length_change_expansion</t>
  </si>
  <si>
    <t>transport | electrical_resistivity</t>
  </si>
  <si>
    <t>transport | chloride_diffusion</t>
  </si>
  <si>
    <t>transport | gas_permeability</t>
  </si>
  <si>
    <t>durability | carbonation</t>
  </si>
  <si>
    <t>strength | bond_slip</t>
  </si>
  <si>
    <t>strength | creep_buckling</t>
  </si>
  <si>
    <t>stiffness | time_dependent_strain</t>
  </si>
  <si>
    <t>stiffness | time_dependent_deflection</t>
  </si>
  <si>
    <t>stiffness | bending_stiffness</t>
  </si>
  <si>
    <t>strength | bending_capacity</t>
  </si>
  <si>
    <t>strength | ductility</t>
  </si>
  <si>
    <t>strength | axial_capacity</t>
  </si>
  <si>
    <t>strength | energy_dissipation</t>
  </si>
  <si>
    <t>strength | cohesion_adhesion</t>
  </si>
  <si>
    <t>strength | aggregate_interlock</t>
  </si>
  <si>
    <t>strength | shear_friction</t>
  </si>
  <si>
    <t>strength | dowel_action</t>
  </si>
  <si>
    <t>strength | concrete_cone_breakout</t>
  </si>
  <si>
    <t>strength | slab_column_connection_failure</t>
  </si>
  <si>
    <t>strength | concrete_cone_failure</t>
  </si>
  <si>
    <t>stiffness | tension_stiffening</t>
  </si>
  <si>
    <t>stiffness | crack_width</t>
  </si>
  <si>
    <t>stiffness | natural_frequency</t>
  </si>
  <si>
    <t>stiffness | dynamic_response</t>
  </si>
  <si>
    <t>strength | impact_resistance</t>
  </si>
  <si>
    <t>strength | failure_mode</t>
  </si>
  <si>
    <t>durability | corrosion_current</t>
  </si>
  <si>
    <t>strength | seismic_response</t>
  </si>
  <si>
    <t>strength | torsion_capacity</t>
  </si>
  <si>
    <t>fresh | segregation_and_stability</t>
  </si>
  <si>
    <t>fresh | setting_and_early_age_stiffening</t>
  </si>
  <si>
    <t>strength | tensile_strength</t>
  </si>
  <si>
    <t>elastic | linear_elasticity</t>
  </si>
  <si>
    <t>fracture | fracture_energy_dissipation</t>
  </si>
  <si>
    <t>fiber | post_cracking_residual_strength</t>
  </si>
  <si>
    <t>fiber | fiber_bridging_and_pull_out_resistance</t>
  </si>
  <si>
    <t>durability | freeze_thaw_damage</t>
  </si>
  <si>
    <t>time_dependent | drying_shrinkage</t>
  </si>
  <si>
    <t>time_dependent | creep</t>
  </si>
  <si>
    <t>time_dependent | autogenous_shrinkage</t>
  </si>
  <si>
    <t>bond | steel_concrete_interaction</t>
  </si>
  <si>
    <t>bond | bond_slip_and_debonding</t>
  </si>
  <si>
    <t>ndt | wave_propagation_velocity</t>
  </si>
  <si>
    <t>ndt | surface_hardness_rebound_response</t>
  </si>
  <si>
    <t>frp | bond</t>
  </si>
  <si>
    <t>thermal | heat_evolution</t>
  </si>
  <si>
    <t>thermal | linear_thermal_expansion</t>
  </si>
  <si>
    <t>thermal | heat_capacity</t>
  </si>
  <si>
    <t>thermal | thermal_diffusivity</t>
  </si>
  <si>
    <t>time_dependent | maturity</t>
  </si>
  <si>
    <t>strength | slag_reactivity</t>
  </si>
  <si>
    <t>strength | pozzolan_reactivity</t>
  </si>
  <si>
    <t>chemical | material_reactivity</t>
  </si>
  <si>
    <t>durability | corrosion_probability</t>
  </si>
  <si>
    <t>durability | chloride_content</t>
  </si>
  <si>
    <t>durability | carbonation_depth</t>
  </si>
  <si>
    <t>transport | sorptivity</t>
  </si>
  <si>
    <t>transport | absorption_and_porosity</t>
  </si>
  <si>
    <t>transport | water_permeability</t>
  </si>
  <si>
    <t>durability | sulfate_attack_expansion</t>
  </si>
  <si>
    <t>temperature_rise</t>
  </si>
  <si>
    <t>heat_flow</t>
  </si>
  <si>
    <t>cumulative_heat</t>
  </si>
  <si>
    <t>coefficient_of_thermal_expansion</t>
  </si>
  <si>
    <t>heat_capacity</t>
  </si>
  <si>
    <t>thermal_diffusivity</t>
  </si>
  <si>
    <t>thermal_conductivity</t>
  </si>
  <si>
    <t>length_change</t>
  </si>
  <si>
    <t>viscosity</t>
  </si>
  <si>
    <t>resistivity</t>
  </si>
  <si>
    <t>potential</t>
  </si>
  <si>
    <t>diffusion_coefficient</t>
  </si>
  <si>
    <t>permeability</t>
  </si>
  <si>
    <t>yield_stress</t>
  </si>
  <si>
    <t>slump</t>
  </si>
  <si>
    <t>sorptivity</t>
  </si>
  <si>
    <t>absorption</t>
  </si>
  <si>
    <t>porosity</t>
  </si>
  <si>
    <t>concentration</t>
  </si>
  <si>
    <t>frequency</t>
  </si>
  <si>
    <t>fraction</t>
  </si>
  <si>
    <t>pH</t>
  </si>
  <si>
    <t>mass_loss</t>
  </si>
  <si>
    <t>distribution</t>
  </si>
  <si>
    <t>current</t>
  </si>
  <si>
    <t>expansion</t>
  </si>
  <si>
    <t>bound_water</t>
  </si>
  <si>
    <t>pin_support</t>
  </si>
  <si>
    <t>roller_support</t>
  </si>
  <si>
    <t>fixed_support</t>
  </si>
  <si>
    <t>accelerometer</t>
  </si>
  <si>
    <t>string_potentiometer</t>
  </si>
  <si>
    <t>isothermal_calorimeter</t>
  </si>
  <si>
    <t>adiabatic_calorimeter</t>
  </si>
  <si>
    <t>dilatometer</t>
  </si>
  <si>
    <t>environmental_chamber</t>
  </si>
  <si>
    <t>vicat_apparatus</t>
  </si>
  <si>
    <t>penetration_resistance_device</t>
  </si>
  <si>
    <t>rheometer</t>
  </si>
  <si>
    <t>slump_cone</t>
  </si>
  <si>
    <t>flow_table</t>
  </si>
  <si>
    <t>sorptivity_setup</t>
  </si>
  <si>
    <t>permeability_apparatus</t>
  </si>
  <si>
    <t>diffusion_cell</t>
  </si>
  <si>
    <t>migration_cell</t>
  </si>
  <si>
    <t>rcpt_apparatus</t>
  </si>
  <si>
    <t>wenner_probe</t>
  </si>
  <si>
    <t>resistivity_meter</t>
  </si>
  <si>
    <t>potentiostat</t>
  </si>
  <si>
    <t>half_cell_electrode</t>
  </si>
  <si>
    <t>icp</t>
  </si>
  <si>
    <t>tga_analyzer</t>
  </si>
  <si>
    <t>xrd_diffractometer</t>
  </si>
  <si>
    <t>ftir_spectrometer</t>
  </si>
  <si>
    <t>ph_meter</t>
  </si>
  <si>
    <t>scanning_electron_microscope</t>
  </si>
  <si>
    <t>mercury_intrusion_porosimeter</t>
  </si>
  <si>
    <t>nmr_spectrometer</t>
  </si>
  <si>
    <t>micro_ct_scanner</t>
  </si>
  <si>
    <t>optical_microscope</t>
  </si>
  <si>
    <t>exposure_chamber</t>
  </si>
  <si>
    <t>leaching_reactor</t>
  </si>
  <si>
    <t>length_comparator</t>
  </si>
  <si>
    <t>phd_thesis</t>
  </si>
  <si>
    <t>arch</t>
  </si>
  <si>
    <t>aashto_girder_type_I</t>
  </si>
  <si>
    <t>aashto_girder_type_II</t>
  </si>
  <si>
    <t>aashto_girder_type_III</t>
  </si>
  <si>
    <t>aashto_girder_type_IV</t>
  </si>
  <si>
    <t>aashto_girder_type_V</t>
  </si>
  <si>
    <t>aashto_girder_type_VI</t>
  </si>
  <si>
    <t>aashto_bulb_tee_BT54</t>
  </si>
  <si>
    <t>aashto_bulb_tee_BT63</t>
  </si>
  <si>
    <t>aashto_bulb_tee_BT72</t>
  </si>
  <si>
    <t>pci_double_tee_8ft</t>
  </si>
  <si>
    <t>pci_double_tee_10ft</t>
  </si>
  <si>
    <t>pci_double_tee_12ft</t>
  </si>
  <si>
    <t>glass_fiber_reinforced_polymer</t>
  </si>
  <si>
    <t>tensile_bar</t>
  </si>
  <si>
    <t>sheets</t>
  </si>
  <si>
    <t>plates</t>
  </si>
  <si>
    <t>adhesive_type_list</t>
  </si>
  <si>
    <t>anchorage_type_list</t>
  </si>
  <si>
    <t>epoxy</t>
  </si>
  <si>
    <t>vinyl_ester</t>
  </si>
  <si>
    <t>polyester</t>
  </si>
  <si>
    <t>polyurethane</t>
  </si>
  <si>
    <t>methacrylate</t>
  </si>
  <si>
    <t>cementitious</t>
  </si>
  <si>
    <t>frp_u_wrap</t>
  </si>
  <si>
    <t>frp_full_wrap</t>
  </si>
  <si>
    <t>frp_spike_anchor</t>
  </si>
  <si>
    <t>frp_fan_anchor</t>
  </si>
  <si>
    <t>frp_patch_anchor</t>
  </si>
  <si>
    <t>mechanical_anchor_bolt</t>
  </si>
  <si>
    <t>mechanical_anchor_plate</t>
  </si>
  <si>
    <t>adhesive_anchor</t>
  </si>
  <si>
    <t>embedded_bar_anchor</t>
  </si>
  <si>
    <t>near_surface_mounted_anchor</t>
  </si>
  <si>
    <t>end_plate_anchor</t>
  </si>
  <si>
    <t>reversed_cyclic</t>
  </si>
  <si>
    <t>random</t>
  </si>
  <si>
    <t>BAT0001</t>
  </si>
  <si>
    <t>TST0001</t>
  </si>
  <si>
    <t>anchorage_size_mm</t>
  </si>
  <si>
    <t>slippage</t>
  </si>
  <si>
    <t>interface_shear_transfer_test</t>
  </si>
  <si>
    <t>linear_polarization_resistance_LPR</t>
  </si>
  <si>
    <t>semi_adiabatic_calorimetry_test</t>
  </si>
  <si>
    <t>shear_friction_test</t>
  </si>
  <si>
    <t>name</t>
  </si>
  <si>
    <t>description</t>
  </si>
  <si>
    <t>type</t>
  </si>
  <si>
    <t>format</t>
  </si>
  <si>
    <t>filename</t>
  </si>
  <si>
    <t>LDG0001</t>
  </si>
  <si>
    <t>units_type_list</t>
  </si>
  <si>
    <t>%</t>
  </si>
  <si>
    <t>permille</t>
  </si>
  <si>
    <t>microstrain</t>
  </si>
  <si>
    <t>nm</t>
  </si>
  <si>
    <t>um</t>
  </si>
  <si>
    <t>cm</t>
  </si>
  <si>
    <t>dm</t>
  </si>
  <si>
    <t>m</t>
  </si>
  <si>
    <t>km</t>
  </si>
  <si>
    <t>in</t>
  </si>
  <si>
    <t>ft</t>
  </si>
  <si>
    <t>yd</t>
  </si>
  <si>
    <t>mm2</t>
  </si>
  <si>
    <t>cm2</t>
  </si>
  <si>
    <t>m2</t>
  </si>
  <si>
    <t>in2</t>
  </si>
  <si>
    <t>ft2</t>
  </si>
  <si>
    <t>mm3</t>
  </si>
  <si>
    <t>cm3</t>
  </si>
  <si>
    <t>m3</t>
  </si>
  <si>
    <t>mL</t>
  </si>
  <si>
    <t>L</t>
  </si>
  <si>
    <t>in3</t>
  </si>
  <si>
    <t>ft3</t>
  </si>
  <si>
    <t>rad</t>
  </si>
  <si>
    <t>mrad</t>
  </si>
  <si>
    <t>deg</t>
  </si>
  <si>
    <t>ns</t>
  </si>
  <si>
    <t>us</t>
  </si>
  <si>
    <t>ms</t>
  </si>
  <si>
    <t>s</t>
  </si>
  <si>
    <t>min</t>
  </si>
  <si>
    <t>h</t>
  </si>
  <si>
    <t>day</t>
  </si>
  <si>
    <t>week</t>
  </si>
  <si>
    <t>month</t>
  </si>
  <si>
    <t>Hz</t>
  </si>
  <si>
    <t>kHz</t>
  </si>
  <si>
    <t>MHz</t>
  </si>
  <si>
    <t>GHz</t>
  </si>
  <si>
    <t>rad_s</t>
  </si>
  <si>
    <t>ug</t>
  </si>
  <si>
    <t>mg</t>
  </si>
  <si>
    <t>g</t>
  </si>
  <si>
    <t>kg</t>
  </si>
  <si>
    <t>ton</t>
  </si>
  <si>
    <t>lb</t>
  </si>
  <si>
    <t>slug</t>
  </si>
  <si>
    <t>mN</t>
  </si>
  <si>
    <t>N</t>
  </si>
  <si>
    <t>MN</t>
  </si>
  <si>
    <t>lbf</t>
  </si>
  <si>
    <t>kip</t>
  </si>
  <si>
    <t>N_mm</t>
  </si>
  <si>
    <t>N_m</t>
  </si>
  <si>
    <t>kN_m</t>
  </si>
  <si>
    <t>MN_m</t>
  </si>
  <si>
    <t>lbf_ft</t>
  </si>
  <si>
    <t>kip_ft</t>
  </si>
  <si>
    <t>Pa</t>
  </si>
  <si>
    <t>kPa</t>
  </si>
  <si>
    <t>GPa</t>
  </si>
  <si>
    <t>bar</t>
  </si>
  <si>
    <t>atm</t>
  </si>
  <si>
    <t>psi</t>
  </si>
  <si>
    <t>ksi</t>
  </si>
  <si>
    <t>1_s</t>
  </si>
  <si>
    <t>1_min</t>
  </si>
  <si>
    <t>1_h</t>
  </si>
  <si>
    <t>mm_s</t>
  </si>
  <si>
    <t>cm_s</t>
  </si>
  <si>
    <t>m_s</t>
  </si>
  <si>
    <t>km_h</t>
  </si>
  <si>
    <t>in_s</t>
  </si>
  <si>
    <t>ft_s</t>
  </si>
  <si>
    <t>mm_s2</t>
  </si>
  <si>
    <t>cm_s2</t>
  </si>
  <si>
    <t>m_s2</t>
  </si>
  <si>
    <t>g_acceleration</t>
  </si>
  <si>
    <t>kg_m3</t>
  </si>
  <si>
    <t>g_cm3</t>
  </si>
  <si>
    <t>Mg_m3</t>
  </si>
  <si>
    <t>lb_ft3</t>
  </si>
  <si>
    <t>K</t>
  </si>
  <si>
    <t>F</t>
  </si>
  <si>
    <t>delta_C</t>
  </si>
  <si>
    <t>delta_K</t>
  </si>
  <si>
    <t>delta_F</t>
  </si>
  <si>
    <t>kg_kg</t>
  </si>
  <si>
    <t>g_g</t>
  </si>
  <si>
    <t>mJ</t>
  </si>
  <si>
    <t>J</t>
  </si>
  <si>
    <t>kJ</t>
  </si>
  <si>
    <t>MJ</t>
  </si>
  <si>
    <t>Wh</t>
  </si>
  <si>
    <t>kWh</t>
  </si>
  <si>
    <t>BTU</t>
  </si>
  <si>
    <t>J_m3</t>
  </si>
  <si>
    <t>kJ_m3</t>
  </si>
  <si>
    <t>MJ_m3</t>
  </si>
  <si>
    <t>mW</t>
  </si>
  <si>
    <t>W</t>
  </si>
  <si>
    <t>kW</t>
  </si>
  <si>
    <t>MW</t>
  </si>
  <si>
    <t>hp</t>
  </si>
  <si>
    <t>cal</t>
  </si>
  <si>
    <t>kcal</t>
  </si>
  <si>
    <t>W_m2</t>
  </si>
  <si>
    <t>kW_m2</t>
  </si>
  <si>
    <t>W_mK</t>
  </si>
  <si>
    <t>mW_mmK</t>
  </si>
  <si>
    <t>m2_s</t>
  </si>
  <si>
    <t>mm2_s</t>
  </si>
  <si>
    <t>J_kgK</t>
  </si>
  <si>
    <t>kJ_kgK</t>
  </si>
  <si>
    <t>cal_gC</t>
  </si>
  <si>
    <t>1_K</t>
  </si>
  <si>
    <t>Pa_s</t>
  </si>
  <si>
    <t>mPa_s</t>
  </si>
  <si>
    <t>cP</t>
  </si>
  <si>
    <t>cSt</t>
  </si>
  <si>
    <t>darcy</t>
  </si>
  <si>
    <t>mm_sqrt_s</t>
  </si>
  <si>
    <t>mm_sqrt_h</t>
  </si>
  <si>
    <t>m_sqrt_s</t>
  </si>
  <si>
    <t>S_m</t>
  </si>
  <si>
    <t>mS_cm</t>
  </si>
  <si>
    <t>ohm</t>
  </si>
  <si>
    <t>kohm</t>
  </si>
  <si>
    <t>Mohm</t>
  </si>
  <si>
    <t>ohm_m</t>
  </si>
  <si>
    <t>ohm_cm</t>
  </si>
  <si>
    <t>kohm_cm</t>
  </si>
  <si>
    <t>uV</t>
  </si>
  <si>
    <t>mV</t>
  </si>
  <si>
    <t>V</t>
  </si>
  <si>
    <t>kV</t>
  </si>
  <si>
    <t>uA</t>
  </si>
  <si>
    <t>mA</t>
  </si>
  <si>
    <t>A</t>
  </si>
  <si>
    <t>kA</t>
  </si>
  <si>
    <t>C_electric</t>
  </si>
  <si>
    <t>mC</t>
  </si>
  <si>
    <t>Ah</t>
  </si>
  <si>
    <t>pF</t>
  </si>
  <si>
    <t>nF</t>
  </si>
  <si>
    <t>uF</t>
  </si>
  <si>
    <t>F_electric</t>
  </si>
  <si>
    <t>uH</t>
  </si>
  <si>
    <t>mH</t>
  </si>
  <si>
    <t>H</t>
  </si>
  <si>
    <t>T</t>
  </si>
  <si>
    <t>mT</t>
  </si>
  <si>
    <t>gauss</t>
  </si>
  <si>
    <t>Wb</t>
  </si>
  <si>
    <t>Gy</t>
  </si>
  <si>
    <t>mGy</t>
  </si>
  <si>
    <t>Sv</t>
  </si>
  <si>
    <t>lux</t>
  </si>
  <si>
    <t>dB</t>
  </si>
  <si>
    <t>L_s</t>
  </si>
  <si>
    <t>L_min</t>
  </si>
  <si>
    <t>m3_s</t>
  </si>
  <si>
    <t>m3_h</t>
  </si>
  <si>
    <t>kg_s</t>
  </si>
  <si>
    <t>kg_min</t>
  </si>
  <si>
    <t>kg_h</t>
  </si>
  <si>
    <t>ppm</t>
  </si>
  <si>
    <t>ppb</t>
  </si>
  <si>
    <t>mg_L</t>
  </si>
  <si>
    <t>g_L</t>
  </si>
  <si>
    <t>mol_L</t>
  </si>
  <si>
    <t>mmol_L</t>
  </si>
  <si>
    <t>J_m2</t>
  </si>
  <si>
    <t>1_mm</t>
  </si>
  <si>
    <t>1_m</t>
  </si>
  <si>
    <t>mm_N</t>
  </si>
  <si>
    <t>m_N</t>
  </si>
  <si>
    <t>1_N</t>
  </si>
  <si>
    <t>kN_mm</t>
  </si>
  <si>
    <t>HV</t>
  </si>
  <si>
    <t>HB</t>
  </si>
  <si>
    <t>HRC</t>
  </si>
  <si>
    <t>MPa_sqrt_m</t>
  </si>
  <si>
    <t>ksi_sqrt_in</t>
  </si>
  <si>
    <t>cycles</t>
  </si>
  <si>
    <t>USD</t>
  </si>
  <si>
    <t>EUR</t>
  </si>
  <si>
    <t>GBP</t>
  </si>
  <si>
    <t>JPY</t>
  </si>
  <si>
    <t>CNY</t>
  </si>
  <si>
    <t>kg_CO2e</t>
  </si>
  <si>
    <t>ton_CO2e</t>
  </si>
  <si>
    <t>eco_points</t>
  </si>
  <si>
    <t>vol_percent</t>
  </si>
  <si>
    <t>mm_year</t>
  </si>
  <si>
    <t>um_year</t>
  </si>
  <si>
    <t>A_m2</t>
  </si>
  <si>
    <t>1_GPa</t>
  </si>
  <si>
    <t>J_g</t>
  </si>
  <si>
    <t>kJ_kg</t>
  </si>
  <si>
    <t>J_K</t>
  </si>
  <si>
    <t>kJ_K</t>
  </si>
  <si>
    <t>m2K_W</t>
  </si>
  <si>
    <t>aJ</t>
  </si>
  <si>
    <t>fJ</t>
  </si>
  <si>
    <t>pJ</t>
  </si>
  <si>
    <t>counts</t>
  </si>
  <si>
    <t>km_s</t>
  </si>
  <si>
    <t>fps</t>
  </si>
  <si>
    <t>kbps</t>
  </si>
  <si>
    <t>Mbps</t>
  </si>
  <si>
    <t>Gbps</t>
  </si>
  <si>
    <t>0_255</t>
  </si>
  <si>
    <t>um_pixel</t>
  </si>
  <si>
    <t>mm_pixel</t>
  </si>
  <si>
    <t>dpi</t>
  </si>
  <si>
    <t>ppi</t>
  </si>
  <si>
    <t>px</t>
  </si>
  <si>
    <t>count</t>
  </si>
  <si>
    <t>true_false</t>
  </si>
  <si>
    <t>unix_timestamp</t>
  </si>
  <si>
    <t>ISO8601</t>
  </si>
  <si>
    <t>yyyy-mm-dd</t>
  </si>
  <si>
    <t>yyyy-mm-dd_hh-mm-ss</t>
  </si>
  <si>
    <t>reinforcement_file_name</t>
  </si>
  <si>
    <t>mixing_protocol_file_name</t>
  </si>
  <si>
    <t>initial_env_temperature_C</t>
  </si>
  <si>
    <t>main_observed_mechanisms</t>
  </si>
  <si>
    <t>First Name</t>
  </si>
  <si>
    <t>Last Name</t>
  </si>
  <si>
    <t>Institution</t>
  </si>
  <si>
    <t>Country</t>
  </si>
  <si>
    <t>Email</t>
  </si>
  <si>
    <t>Jia-Liang</t>
  </si>
  <si>
    <t>Le</t>
  </si>
  <si>
    <t>University of Minnesota</t>
  </si>
  <si>
    <t>USA</t>
  </si>
  <si>
    <t>jle@umn.edu</t>
  </si>
  <si>
    <t>Ab</t>
  </si>
  <si>
    <t>van den Bos</t>
  </si>
  <si>
    <t>NLyseConsultants</t>
  </si>
  <si>
    <t>The Netherlands</t>
  </si>
  <si>
    <t>a.vandenbos@NLyseConsultants.com</t>
  </si>
  <si>
    <t>Viktor</t>
  </si>
  <si>
    <t>Gribniak</t>
  </si>
  <si>
    <t>Vilnius Gediminas Technical University</t>
  </si>
  <si>
    <t>Lithuania</t>
  </si>
  <si>
    <t>viktor.gribniak@vilniustech.lt</t>
  </si>
  <si>
    <t>Erik</t>
  </si>
  <si>
    <t>Schlangen</t>
  </si>
  <si>
    <t>TU Delft</t>
  </si>
  <si>
    <t>erik.schlangen@tudelft.nl</t>
  </si>
  <si>
    <t>Luna</t>
  </si>
  <si>
    <t>Hasani</t>
  </si>
  <si>
    <t>Kiewit Corporation</t>
  </si>
  <si>
    <t>luna.hasani90@gmail.com</t>
  </si>
  <si>
    <t>Gabriel</t>
  </si>
  <si>
    <t>Ackall</t>
  </si>
  <si>
    <t>Virginia tech</t>
  </si>
  <si>
    <t>gackall@vt.edu</t>
  </si>
  <si>
    <t>Yuchen (Jane)</t>
  </si>
  <si>
    <t>Li</t>
  </si>
  <si>
    <t>YuchenLi2025@u.northwestern.edu</t>
  </si>
  <si>
    <t>Reza</t>
  </si>
  <si>
    <t>Moini</t>
  </si>
  <si>
    <t>Princeton University</t>
  </si>
  <si>
    <t>mmoini@princeton.edu</t>
  </si>
  <si>
    <t>Jorg</t>
  </si>
  <si>
    <t>Unger</t>
  </si>
  <si>
    <t>BAM</t>
  </si>
  <si>
    <t>Germany</t>
  </si>
  <si>
    <t>joerg.unger@bam.de</t>
  </si>
  <si>
    <t>Ehab</t>
  </si>
  <si>
    <t>Hamed</t>
  </si>
  <si>
    <t>The University of New South Wales</t>
  </si>
  <si>
    <t>Australia</t>
  </si>
  <si>
    <t>e.hamed@unsw.edu.au</t>
  </si>
  <si>
    <t>Anca</t>
  </si>
  <si>
    <t>Ferche</t>
  </si>
  <si>
    <t>UT at Austin</t>
  </si>
  <si>
    <t>ferche@austin.utexas.edu</t>
  </si>
  <si>
    <t>Christian</t>
  </si>
  <si>
    <t>Carloni</t>
  </si>
  <si>
    <t>Case Western University</t>
  </si>
  <si>
    <t>cxc966@case.edu</t>
  </si>
  <si>
    <t>Fabio</t>
  </si>
  <si>
    <t>Matta</t>
  </si>
  <si>
    <t>University of South Carolina</t>
  </si>
  <si>
    <t>mattaf@cec.sc.edu</t>
  </si>
  <si>
    <t>Mohammed</t>
  </si>
  <si>
    <t>Alnaggar</t>
  </si>
  <si>
    <t>ORNL</t>
  </si>
  <si>
    <t>alnaggarmg@ornl.gov</t>
  </si>
  <si>
    <t>MZ</t>
  </si>
  <si>
    <t>Naser</t>
  </si>
  <si>
    <t>Clemson University</t>
  </si>
  <si>
    <t>mznaser@clemson.edu</t>
  </si>
  <si>
    <t>Ann</t>
  </si>
  <si>
    <t>Goodell</t>
  </si>
  <si>
    <t>Cal Poly</t>
  </si>
  <si>
    <t>anngood@calpoly.edu</t>
  </si>
  <si>
    <t>John</t>
  </si>
  <si>
    <t>Bolander</t>
  </si>
  <si>
    <t>UC Davis</t>
  </si>
  <si>
    <t>jebolander@ucdavis.edu</t>
  </si>
  <si>
    <t>Jan</t>
  </si>
  <si>
    <t>Cervenka</t>
  </si>
  <si>
    <t>Cervenka consulting</t>
  </si>
  <si>
    <t>Czechia</t>
  </si>
  <si>
    <t>jan.cervenka@cervenka.cz</t>
  </si>
  <si>
    <t>Stephanie</t>
  </si>
  <si>
    <t>Paal</t>
  </si>
  <si>
    <t>spaal@civil.tamu.edu</t>
  </si>
  <si>
    <t>Ali</t>
  </si>
  <si>
    <t>Behnood</t>
  </si>
  <si>
    <t>abehnood@olemiss.edu</t>
  </si>
  <si>
    <t>Shady</t>
  </si>
  <si>
    <t>Gomaa</t>
  </si>
  <si>
    <t>sgomaa@ua.edu</t>
  </si>
  <si>
    <t>Ebenezer</t>
  </si>
  <si>
    <t>Fanijo</t>
  </si>
  <si>
    <t>Georgia Tech</t>
  </si>
  <si>
    <t>ebenfanijo@gatech.edu</t>
  </si>
  <si>
    <t>Matthew</t>
  </si>
  <si>
    <t>Soltani</t>
  </si>
  <si>
    <t>Bradley University</t>
  </si>
  <si>
    <t>msoltani@bradley.edu</t>
  </si>
  <si>
    <t>Giovanni</t>
  </si>
  <si>
    <t>Di Luzio</t>
  </si>
  <si>
    <t>Politecnico di Milano</t>
  </si>
  <si>
    <t>giovanni.diluzio@polimi.it</t>
  </si>
  <si>
    <t>Jiaqui</t>
  </si>
  <si>
    <t>Liu</t>
  </si>
  <si>
    <t>jiaqi.liu2@northwestern.edu</t>
  </si>
  <si>
    <t>Constantino</t>
  </si>
  <si>
    <t>Menna</t>
  </si>
  <si>
    <t>Italy</t>
  </si>
  <si>
    <t>costantino.menna@unina.it</t>
  </si>
  <si>
    <t>Dimitrios</t>
  </si>
  <si>
    <t>Kalliontzis</t>
  </si>
  <si>
    <t>dkallion@Central.UH.EDU</t>
  </si>
  <si>
    <t>University of Huston</t>
  </si>
  <si>
    <t>University of Alabama</t>
  </si>
  <si>
    <t>Northwestern University</t>
  </si>
  <si>
    <t>Gianluca</t>
  </si>
  <si>
    <t>Cusatis</t>
  </si>
  <si>
    <t>University of Naples</t>
  </si>
  <si>
    <t>University of Missisipi</t>
  </si>
  <si>
    <t>texas A&amp;M university</t>
  </si>
  <si>
    <t>g-cusatis@northwestern.edu</t>
  </si>
  <si>
    <t xml:space="preserve">INSTRUCTIONS about the use of this spreasheet are availabe at </t>
  </si>
  <si>
    <t>https://www.concreep.org/resources</t>
  </si>
  <si>
    <t>test_parameters_file_name</t>
  </si>
  <si>
    <t>transverse_reinforcement</t>
  </si>
  <si>
    <t>Concrete Grand Challenge Working Group</t>
  </si>
  <si>
    <t>Contact Gianluca Cusatis at g-cusatis@northwestern.edu if you are interested in being involved in the Concrete Grand Challenge Working Group</t>
  </si>
  <si>
    <t>device_parameters_file</t>
  </si>
  <si>
    <t>test_parameters_list</t>
  </si>
  <si>
    <t>gage_length</t>
  </si>
  <si>
    <t>load_cell_capacity</t>
  </si>
  <si>
    <t>shear_span</t>
  </si>
  <si>
    <t>axial_eccentricity</t>
  </si>
  <si>
    <t>heat_evolution_test</t>
  </si>
  <si>
    <t>heat_of_hydration_test</t>
  </si>
  <si>
    <t>length_change_test</t>
  </si>
  <si>
    <t>rate_of_absorption_of_water_test</t>
  </si>
  <si>
    <t>reactivity_of_scm_test</t>
  </si>
  <si>
    <t>rebound_number_test</t>
  </si>
  <si>
    <t>scaling_resistance_test</t>
  </si>
  <si>
    <t>slump_flow_test</t>
  </si>
  <si>
    <t>thermal_diffusivity_test</t>
  </si>
  <si>
    <t>time_of_setting_test</t>
  </si>
  <si>
    <t>v_funnel_test</t>
  </si>
  <si>
    <t>water_penetration_test</t>
  </si>
  <si>
    <t>specimen_id</t>
  </si>
  <si>
    <t>SPC0001</t>
  </si>
  <si>
    <t>rheology_modifier_type</t>
  </si>
  <si>
    <t>hydration_accelerator_type</t>
  </si>
  <si>
    <t>hydration_accelerator_content_ml_m3</t>
  </si>
  <si>
    <t>bar_nominal_diameter_mm</t>
  </si>
  <si>
    <t>horizontal_cover_mm</t>
  </si>
  <si>
    <t>rheology_modifier_content_kg_m3</t>
  </si>
  <si>
    <t>specimen_geometry_type</t>
  </si>
  <si>
    <t>quantity_reported_type_list</t>
  </si>
  <si>
    <t>This data collection spreadheet was developed with contribution from many members of the Concrete Grand Challenge Working Group</t>
  </si>
  <si>
    <t>reinforcement_parameters_list</t>
  </si>
  <si>
    <t>geometry_parameters_list</t>
  </si>
  <si>
    <t>dogbone_transition_length</t>
  </si>
  <si>
    <t>dogbone_transition_width</t>
  </si>
  <si>
    <t>length</t>
  </si>
  <si>
    <t>thickness</t>
  </si>
  <si>
    <t>begin_distance</t>
  </si>
  <si>
    <t>end_distance</t>
  </si>
  <si>
    <t>spacing</t>
  </si>
  <si>
    <t>layer_depth</t>
  </si>
  <si>
    <t>external_reinforcement_centroid</t>
  </si>
  <si>
    <t>external_reinforcement_angle</t>
  </si>
  <si>
    <t>external_reinforcement_length</t>
  </si>
  <si>
    <t>external_reinforcement_width</t>
  </si>
  <si>
    <t>anchorage_location</t>
  </si>
  <si>
    <t>bending_span</t>
  </si>
  <si>
    <t>axial_test</t>
  </si>
  <si>
    <t>pad_support</t>
  </si>
  <si>
    <t>devices_and_supports_type_list</t>
  </si>
  <si>
    <t>devices_and_supports_parameters_list</t>
  </si>
  <si>
    <t>double_notched_prism</t>
  </si>
  <si>
    <t>width</t>
  </si>
  <si>
    <t>FLEXURAL, TENSILE, STIRRUPS, TIES</t>
  </si>
  <si>
    <t>AASHTO_T325</t>
  </si>
  <si>
    <t>AASHTO_T336</t>
  </si>
  <si>
    <t>AC434</t>
  </si>
  <si>
    <t>ASTM_A944/A944M</t>
  </si>
  <si>
    <t>ASTM_C1074</t>
  </si>
  <si>
    <t>ASTM_C1152</t>
  </si>
  <si>
    <t>ASTM_C1202</t>
  </si>
  <si>
    <t>ASTM_C1218</t>
  </si>
  <si>
    <t>ASTM_C1260</t>
  </si>
  <si>
    <t>ASTM_C1293</t>
  </si>
  <si>
    <t>ASTM_C138/C138M</t>
  </si>
  <si>
    <t>ASTM_C143/C143M</t>
  </si>
  <si>
    <t>ASTM_C1556</t>
  </si>
  <si>
    <t>ASTM_C157/C157M</t>
  </si>
  <si>
    <t>ASTM_C1585</t>
  </si>
  <si>
    <t>ASTM_C1609/C1609M</t>
  </si>
  <si>
    <t>ASTM_C1611/C1611M</t>
  </si>
  <si>
    <t>ASTM_C1679</t>
  </si>
  <si>
    <t>ASTM_C1702</t>
  </si>
  <si>
    <t>ASTM_C173/C173M</t>
  </si>
  <si>
    <t>ASTM_C1876</t>
  </si>
  <si>
    <t>ASTM_C1897</t>
  </si>
  <si>
    <t>ASTM_C191</t>
  </si>
  <si>
    <t>ASTM_C231/C231M</t>
  </si>
  <si>
    <t>ASTM_C293/C293M</t>
  </si>
  <si>
    <t>ASTM_C311</t>
  </si>
  <si>
    <t>ASTM_C39/C39M</t>
  </si>
  <si>
    <t>ASTM_C403/C403M</t>
  </si>
  <si>
    <t>ASTM_C469/C469M</t>
  </si>
  <si>
    <t>ASTM_C496/C496M</t>
  </si>
  <si>
    <t>ASTM_C512/C512M</t>
  </si>
  <si>
    <t>ASTM_C531</t>
  </si>
  <si>
    <t>ASTM_C597</t>
  </si>
  <si>
    <t>ASTM_C642</t>
  </si>
  <si>
    <t>ASTM_C666/C666M</t>
  </si>
  <si>
    <t>ASTM_C672/C672M</t>
  </si>
  <si>
    <t>ASTM_C78/C78M</t>
  </si>
  <si>
    <t>ASTM_C7957/D7957M</t>
  </si>
  <si>
    <t>ASTM_C805/C805M</t>
  </si>
  <si>
    <t>ASTM_D7958/D7958M</t>
  </si>
  <si>
    <t>ASTM_D8337/D8337M</t>
  </si>
  <si>
    <t>EN_12350-2</t>
  </si>
  <si>
    <t>EN_12350-6</t>
  </si>
  <si>
    <t>EN_12350-7</t>
  </si>
  <si>
    <t>EN_12350-8</t>
  </si>
  <si>
    <t>EN_12350-9</t>
  </si>
  <si>
    <t>EN_12390-13</t>
  </si>
  <si>
    <t>EN_12390-16</t>
  </si>
  <si>
    <t>EN_12390-17</t>
  </si>
  <si>
    <t>EN_12390-3</t>
  </si>
  <si>
    <t>EN_12390-6</t>
  </si>
  <si>
    <t>EN_12390-8</t>
  </si>
  <si>
    <t>EN_12504-2</t>
  </si>
  <si>
    <t>EN_12504-4</t>
  </si>
  <si>
    <t>EN_14630</t>
  </si>
  <si>
    <t>EN_14651</t>
  </si>
  <si>
    <t>NT_Build_492</t>
  </si>
  <si>
    <t>RILEM_RC6</t>
  </si>
  <si>
    <t>RILEM_TC_162-TDF</t>
  </si>
  <si>
    <t>RILEM_TC_50-FMC</t>
  </si>
  <si>
    <t>USACE_CRD-C124</t>
  </si>
  <si>
    <t>USACE_CRD-C36</t>
  </si>
  <si>
    <t>USACE_CRD-C39-81</t>
  </si>
  <si>
    <t>durability | alkali_silica_reaction</t>
  </si>
  <si>
    <t>durability | pore_structure_evolution</t>
  </si>
  <si>
    <t>durability | permeability</t>
  </si>
  <si>
    <t>strength | shear_fracture</t>
  </si>
  <si>
    <t>strength | crushing_failure</t>
  </si>
  <si>
    <t>fresh | air_entrainment</t>
  </si>
  <si>
    <t>fresh | density_and_consistency</t>
  </si>
  <si>
    <t>durability | chloride_penetration</t>
  </si>
  <si>
    <t>fresh | rheology</t>
  </si>
  <si>
    <t>water_reducer_unspecified</t>
  </si>
  <si>
    <t>hydroxycarboxylic_acid</t>
  </si>
  <si>
    <t>carbohydrate_based</t>
  </si>
  <si>
    <t>set_retarding_water_reducer</t>
  </si>
  <si>
    <t>set_accelerating_water_reducer</t>
  </si>
  <si>
    <t>superplasticizer_unspecified</t>
  </si>
  <si>
    <t>normal_range_water_reducer</t>
  </si>
  <si>
    <t>water_reducer_type_list</t>
  </si>
  <si>
    <t>air_entrainment_unspecified</t>
  </si>
  <si>
    <t>synthetic_detergent_based</t>
  </si>
  <si>
    <t>vinsol_resin</t>
  </si>
  <si>
    <t>wood_resin</t>
  </si>
  <si>
    <t>fatty_acid_based</t>
  </si>
  <si>
    <t>sulfated_hydrocarbon</t>
  </si>
  <si>
    <t>protein_based</t>
  </si>
  <si>
    <t>natural_resin</t>
  </si>
  <si>
    <t>surfactant_based</t>
  </si>
  <si>
    <t>air_entrainment_type_list</t>
  </si>
  <si>
    <t>rheology_modifier_unspecified</t>
  </si>
  <si>
    <t>viscosity_modifying_admixture</t>
  </si>
  <si>
    <t>cellulose_ether</t>
  </si>
  <si>
    <t>welan_gum</t>
  </si>
  <si>
    <t>xanthan_gum</t>
  </si>
  <si>
    <t>starch_based</t>
  </si>
  <si>
    <t>silica_based</t>
  </si>
  <si>
    <t>nanoclay_based</t>
  </si>
  <si>
    <t>attapulgite_clay</t>
  </si>
  <si>
    <t>bentonite_based</t>
  </si>
  <si>
    <t>biopolymer_based</t>
  </si>
  <si>
    <t>synthetic_polymer_based</t>
  </si>
  <si>
    <t>polyacrylamide_based</t>
  </si>
  <si>
    <t>diutan_gum</t>
  </si>
  <si>
    <t>rheology_modifier_type_list</t>
  </si>
  <si>
    <t>hydration_accelerator_unspecified</t>
  </si>
  <si>
    <t>calcium_chloride</t>
  </si>
  <si>
    <t>non_chloride_accelerator</t>
  </si>
  <si>
    <t>calcium_nitrate</t>
  </si>
  <si>
    <t>calcium_formate</t>
  </si>
  <si>
    <t>triethanolamine</t>
  </si>
  <si>
    <t>sodium_thiocyanate</t>
  </si>
  <si>
    <t>sodium_nitrate</t>
  </si>
  <si>
    <t>aluminate_based</t>
  </si>
  <si>
    <t>silicate_based</t>
  </si>
  <si>
    <t>carbonate_based</t>
  </si>
  <si>
    <t>alkali_based</t>
  </si>
  <si>
    <t>shotcrete_accelerator</t>
  </si>
  <si>
    <t>set_accelerating_admixture</t>
  </si>
  <si>
    <t>hardening_accelerating_admixture</t>
  </si>
  <si>
    <t>hydration_accelerator_type_list</t>
  </si>
  <si>
    <t>hygral_boundary_conditions</t>
  </si>
  <si>
    <t>thermal_boundary_conditions</t>
  </si>
  <si>
    <t>loading_control_variable</t>
  </si>
  <si>
    <t>extraction_methods</t>
  </si>
  <si>
    <t>specimen_geometry_file_name</t>
  </si>
  <si>
    <t>env_temperature_C_history_file_name</t>
  </si>
  <si>
    <t>initial_env_relative_humidity_percent</t>
  </si>
  <si>
    <t>env_relative_humidity_percent_history_file_name</t>
  </si>
  <si>
    <t>reinforcement_layout_id</t>
  </si>
  <si>
    <t>RFL0001</t>
  </si>
  <si>
    <t>REF0002</t>
  </si>
  <si>
    <t>RMT0001</t>
  </si>
  <si>
    <t>reinforcement_material_type</t>
  </si>
  <si>
    <t>reinforcement_material_id</t>
  </si>
  <si>
    <t>printing_variables_id</t>
  </si>
  <si>
    <t>Release date</t>
  </si>
  <si>
    <t>Release name</t>
  </si>
  <si>
    <t>bar_designation_list</t>
  </si>
  <si>
    <t>Notes</t>
  </si>
  <si>
    <t>reinforcement_type</t>
  </si>
  <si>
    <t>reinforcement_component_id</t>
  </si>
  <si>
    <t>GEO0002</t>
  </si>
  <si>
    <t>number_of_reinf_elements</t>
  </si>
  <si>
    <t>compressive_strength</t>
  </si>
  <si>
    <t>tensile_strength</t>
  </si>
  <si>
    <t>elastic_modulus</t>
  </si>
  <si>
    <t>peak_load</t>
  </si>
  <si>
    <t>v2 under development</t>
  </si>
  <si>
    <t>kamran.aghaee@wvstateu.edu</t>
  </si>
  <si>
    <t>Kamran</t>
  </si>
  <si>
    <t>Aghaee</t>
  </si>
  <si>
    <t>West Virginia State University</t>
  </si>
  <si>
    <t>Nick</t>
  </si>
  <si>
    <t>Sonnentang</t>
  </si>
  <si>
    <t>nick@sunn3d.com</t>
  </si>
  <si>
    <t>Sunnyday Technologies</t>
  </si>
  <si>
    <t>Luca</t>
  </si>
  <si>
    <t>Sorelli</t>
  </si>
  <si>
    <t>Canada</t>
  </si>
  <si>
    <t>Laval University</t>
  </si>
  <si>
    <t>luca.sorelli@gci.ulaval.ca</t>
  </si>
  <si>
    <t>Eric</t>
  </si>
  <si>
    <t>Landis</t>
  </si>
  <si>
    <t>University of Maine</t>
  </si>
  <si>
    <t>landis@maine.edu</t>
  </si>
  <si>
    <t>Nishant</t>
  </si>
  <si>
    <t>Garg</t>
  </si>
  <si>
    <t>UIUC</t>
  </si>
  <si>
    <t>nishantg@illinois.edu</t>
  </si>
  <si>
    <t>fracture | mode_I</t>
  </si>
  <si>
    <t>fracture | mode_II</t>
  </si>
  <si>
    <t>fracture | initiation</t>
  </si>
  <si>
    <t>unitless</t>
  </si>
  <si>
    <t>dimensionless</t>
  </si>
  <si>
    <t>not_applicable</t>
  </si>
  <si>
    <t>m4</t>
  </si>
  <si>
    <t>mm4</t>
  </si>
  <si>
    <t>cm4</t>
  </si>
  <si>
    <t>in4</t>
  </si>
  <si>
    <t>mol</t>
  </si>
  <si>
    <t>mmol</t>
  </si>
  <si>
    <t>umol</t>
  </si>
  <si>
    <t>N_s</t>
  </si>
  <si>
    <t>kN_s</t>
  </si>
  <si>
    <t>N_s_mm</t>
  </si>
  <si>
    <t>kN_s_mm</t>
  </si>
  <si>
    <t>N_s_m</t>
  </si>
  <si>
    <t>kN_s_m</t>
  </si>
  <si>
    <t>N_mm2</t>
  </si>
  <si>
    <t>kN_mm2</t>
  </si>
  <si>
    <t>N_m2</t>
  </si>
  <si>
    <t>kN_m2</t>
  </si>
  <si>
    <t>MN_m2</t>
  </si>
  <si>
    <t>MPa_s</t>
  </si>
  <si>
    <t>GPa_s</t>
  </si>
  <si>
    <t>MPa_per_s</t>
  </si>
  <si>
    <t>GPa_per_s</t>
  </si>
  <si>
    <t>1_day</t>
  </si>
  <si>
    <t>1_year</t>
  </si>
  <si>
    <t>g_mm3</t>
  </si>
  <si>
    <t>kg_L</t>
  </si>
  <si>
    <t>degC</t>
  </si>
  <si>
    <t>kg_m</t>
  </si>
  <si>
    <t>kg_m2</t>
  </si>
  <si>
    <t>kg_m_s</t>
  </si>
  <si>
    <t>kg_m2_s</t>
  </si>
  <si>
    <t>m3_kg</t>
  </si>
  <si>
    <t>cm3_g</t>
  </si>
  <si>
    <t>mL_g</t>
  </si>
  <si>
    <t>L_kg</t>
  </si>
  <si>
    <t>m2_kg</t>
  </si>
  <si>
    <t>mol_m3</t>
  </si>
  <si>
    <t>mmol_m3</t>
  </si>
  <si>
    <t>kg_mol</t>
  </si>
  <si>
    <t>g_mol</t>
  </si>
  <si>
    <t>J_mm2</t>
  </si>
  <si>
    <t>N_mm_mm2</t>
  </si>
  <si>
    <t>kN_mm_mm2</t>
  </si>
  <si>
    <t>N_m_m2</t>
  </si>
  <si>
    <t>kN_m_m2</t>
  </si>
  <si>
    <t>mm_mm</t>
  </si>
  <si>
    <t>m_m</t>
  </si>
  <si>
    <t>percent_per_day</t>
  </si>
  <si>
    <t>percent_per_year</t>
  </si>
  <si>
    <t>microstrain_per_s</t>
  </si>
  <si>
    <t>microstrain_per_day</t>
  </si>
  <si>
    <t>Releaso note</t>
  </si>
  <si>
    <t>test_repeat_id</t>
  </si>
  <si>
    <t>TRP0001</t>
  </si>
  <si>
    <t>Processing/printing parameters</t>
  </si>
  <si>
    <t>Pumping Parameters</t>
  </si>
  <si>
    <t>Arm Parameter</t>
  </si>
  <si>
    <t>Q/t</t>
  </si>
  <si>
    <t>Normal to the plate</t>
  </si>
  <si>
    <t>Rect</t>
  </si>
  <si>
    <t>Auger-driven / Piston Pump</t>
  </si>
  <si>
    <t>Gantry</t>
  </si>
  <si>
    <t>non-normal</t>
  </si>
  <si>
    <t>Squar</t>
  </si>
  <si>
    <t>Robot Arm</t>
  </si>
  <si>
    <t>circle</t>
  </si>
  <si>
    <t>.</t>
  </si>
  <si>
    <t>printing_speed_mm_sec</t>
  </si>
  <si>
    <t>nozzle_orientation</t>
  </si>
  <si>
    <t>nozzle_shape</t>
  </si>
  <si>
    <t>nozzle_length_mm</t>
  </si>
  <si>
    <t>extrusion_pressure_pa</t>
  </si>
  <si>
    <t>hose_length_mm</t>
  </si>
  <si>
    <t>nozzle_diameter_mm</t>
  </si>
  <si>
    <t>hose_diameter_mm</t>
  </si>
  <si>
    <t>pump_type</t>
  </si>
  <si>
    <t>pump_model</t>
  </si>
  <si>
    <t>arm_type</t>
  </si>
  <si>
    <t>number_of_dofs</t>
  </si>
  <si>
    <t>arm_model</t>
  </si>
  <si>
    <t>volumetric_flow_rate_mm3_sec</t>
  </si>
  <si>
    <t>number_of_repeats</t>
  </si>
  <si>
    <t>number_of_specimens</t>
  </si>
  <si>
    <t>unconfined_compression_test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</si>
</sst>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232F3A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232F3A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rgb="FFD9E2F3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rgb="FFD9E2F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/>
    </xf>
    <xf numFmtId="14" fontId="0" fillId="0" borderId="0" xfId="0" applyNumberFormat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vertical="top" wrapText="1"/>
    </xf>
    <xf numFmtId="0" fontId="2" fillId="3" borderId="0" xfId="0" applyFont="1" applyFill="1"/>
    <xf numFmtId="0" fontId="1" fillId="2" borderId="0" xfId="0" applyFont="1" applyFill="1" applyAlignment="1">
      <alignment vertical="top" wrapText="1"/>
    </xf>
    <xf numFmtId="49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0" fontId="0" fillId="0" borderId="2" xfId="0" applyBorder="1"/>
    <xf numFmtId="0" fontId="1" fillId="2" borderId="3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2" fillId="3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10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top" wrapText="1"/>
    </xf>
    <xf numFmtId="0" fontId="1" fillId="12" borderId="1" xfId="0" applyFont="1" applyFill="1" applyBorder="1" applyAlignment="1">
      <alignment vertical="top" wrapText="1"/>
    </xf>
    <xf numFmtId="0" fontId="2" fillId="12" borderId="0" xfId="0" applyFont="1" applyFill="1" applyAlignment="1">
      <alignment vertical="center"/>
    </xf>
    <xf numFmtId="0" fontId="1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left" vertical="top" wrapText="1"/>
    </xf>
    <xf numFmtId="0" fontId="0" fillId="0" borderId="4" xfId="0" applyBorder="1"/>
    <xf numFmtId="0" fontId="2" fillId="10" borderId="4" xfId="0" applyFont="1" applyFill="1" applyBorder="1" applyAlignment="1">
      <alignment horizontal="left" vertical="top" wrapText="1"/>
    </xf>
    <xf numFmtId="0" fontId="1" fillId="12" borderId="5" xfId="0" applyFont="1" applyFill="1" applyBorder="1" applyAlignment="1">
      <alignment horizontal="left" vertical="top" wrapText="1"/>
    </xf>
    <xf numFmtId="49" fontId="7" fillId="0" borderId="0" xfId="0" applyNumberFormat="1" applyFont="1" applyAlignment="1">
      <alignment vertical="center"/>
    </xf>
    <xf numFmtId="49" fontId="14" fillId="0" borderId="0" xfId="0" applyNumberFormat="1" applyFont="1" applyAlignment="1">
      <alignment vertical="center"/>
    </xf>
    <xf numFmtId="49" fontId="13" fillId="0" borderId="0" xfId="1" applyNumberFormat="1" applyAlignment="1">
      <alignment vertical="center"/>
    </xf>
    <xf numFmtId="0" fontId="1" fillId="3" borderId="0" xfId="0" applyFont="1" applyFill="1" applyAlignment="1">
      <alignment vertical="center" wrapText="1"/>
    </xf>
    <xf numFmtId="0" fontId="15" fillId="8" borderId="0" xfId="0" applyFont="1" applyFill="1" applyAlignment="1">
      <alignment horizontal="left" vertical="top"/>
    </xf>
    <xf numFmtId="0" fontId="2" fillId="10" borderId="2" xfId="0" applyFont="1" applyFill="1" applyBorder="1" applyAlignment="1">
      <alignment horizontal="left" vertical="top" wrapText="1"/>
    </xf>
    <xf numFmtId="0" fontId="7" fillId="0" borderId="0" xfId="0" applyFont="1"/>
    <xf numFmtId="0" fontId="1" fillId="15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2" fillId="1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2" fillId="11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9" fillId="9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14" borderId="0" xfId="0" applyFill="1"/>
    <xf numFmtId="0" fontId="0" fillId="8" borderId="0" xfId="0" applyFill="1" applyAlignment="1">
      <alignment wrapText="1"/>
    </xf>
    <xf numFmtId="0" fontId="10" fillId="14" borderId="0" xfId="0" applyFont="1" applyFill="1"/>
    <xf numFmtId="0" fontId="9" fillId="0" borderId="0" xfId="0" applyFont="1" applyAlignment="1">
      <alignment vertical="center"/>
    </xf>
    <xf numFmtId="0" fontId="9" fillId="1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0" fillId="9" borderId="0" xfId="0" applyFont="1" applyFill="1"/>
    <xf numFmtId="0" fontId="11" fillId="9" borderId="0" xfId="0" applyFont="1" applyFill="1"/>
    <xf numFmtId="0" fontId="1" fillId="8" borderId="1" xfId="0" applyFont="1" applyFill="1" applyBorder="1" applyAlignment="1">
      <alignment horizontal="left" vertical="top" wrapText="1"/>
    </xf>
    <xf numFmtId="0" fontId="2" fillId="12" borderId="0" xfId="0" applyFont="1" applyFill="1"/>
    <xf numFmtId="0" fontId="1" fillId="12" borderId="0" xfId="0" applyFont="1" applyFill="1" applyAlignment="1">
      <alignment vertical="top" wrapText="1"/>
    </xf>
    <xf numFmtId="0" fontId="2" fillId="12" borderId="0" xfId="0" applyFont="1" applyFill="1" applyAlignment="1">
      <alignment vertical="top"/>
    </xf>
    <xf numFmtId="0" fontId="1" fillId="12" borderId="3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1" fillId="12" borderId="2" xfId="0" applyFont="1" applyFill="1" applyBorder="1" applyAlignment="1">
      <alignment vertical="top" wrapText="1"/>
    </xf>
    <xf numFmtId="49" fontId="13" fillId="0" borderId="0" xfId="1" applyNumberFormat="1"/>
    <xf numFmtId="0" fontId="1" fillId="3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ck@sunn3d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amran.aghaee@wvstateu.edu" TargetMode="External"/><Relationship Id="rId1" Type="http://schemas.openxmlformats.org/officeDocument/2006/relationships/hyperlink" Target="https://www.concreep.org/resources" TargetMode="External"/><Relationship Id="rId6" Type="http://schemas.openxmlformats.org/officeDocument/2006/relationships/hyperlink" Target="mailto:nishantg@illinois.edu" TargetMode="External"/><Relationship Id="rId5" Type="http://schemas.openxmlformats.org/officeDocument/2006/relationships/hyperlink" Target="mailto:landis@maine.edu" TargetMode="External"/><Relationship Id="rId4" Type="http://schemas.openxmlformats.org/officeDocument/2006/relationships/hyperlink" Target="mailto:luca.sorelli@gci.ulaval.c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8C1E-A3A4-4AC4-A950-D6EB161D11EF}">
  <dimension ref="B2:F48"/>
  <sheetViews>
    <sheetView workbookViewId="0">
      <selection activeCell="K40" sqref="K40"/>
    </sheetView>
  </sheetViews>
  <sheetFormatPr defaultColWidth="9.140625" defaultRowHeight="15" x14ac:dyDescent="0.25"/>
  <cols>
    <col min="1" max="1" width="9.140625" style="10"/>
    <col min="2" max="2" width="18.28515625" style="11" customWidth="1"/>
    <col min="3" max="3" width="17.5703125" style="10" customWidth="1"/>
    <col min="4" max="4" width="37.140625" style="12" customWidth="1"/>
    <col min="5" max="5" width="18.85546875" style="12" customWidth="1"/>
    <col min="6" max="6" width="37.85546875" style="10" customWidth="1"/>
    <col min="7" max="16384" width="9.140625" style="10"/>
  </cols>
  <sheetData>
    <row r="2" spans="2:6" x14ac:dyDescent="0.25">
      <c r="B2" s="9" t="s">
        <v>1261</v>
      </c>
      <c r="C2" s="37" t="s">
        <v>1272</v>
      </c>
    </row>
    <row r="3" spans="2:6" x14ac:dyDescent="0.25">
      <c r="B3" s="37" t="s">
        <v>1260</v>
      </c>
      <c r="C3" s="9"/>
    </row>
    <row r="4" spans="2:6" x14ac:dyDescent="0.25">
      <c r="B4" s="37" t="s">
        <v>1351</v>
      </c>
      <c r="C4" s="9"/>
    </row>
    <row r="6" spans="2:6" x14ac:dyDescent="0.25">
      <c r="B6" s="37" t="s">
        <v>1100</v>
      </c>
    </row>
    <row r="8" spans="2:6" x14ac:dyDescent="0.25">
      <c r="B8" s="37" t="s">
        <v>1070</v>
      </c>
    </row>
    <row r="10" spans="2:6" x14ac:dyDescent="0.25">
      <c r="B10" s="37" t="s">
        <v>944</v>
      </c>
      <c r="C10" s="9" t="s">
        <v>945</v>
      </c>
      <c r="D10" s="13" t="s">
        <v>946</v>
      </c>
      <c r="E10" s="13" t="s">
        <v>947</v>
      </c>
      <c r="F10" s="9" t="s">
        <v>948</v>
      </c>
    </row>
    <row r="11" spans="2:6" x14ac:dyDescent="0.25">
      <c r="B11" s="11" t="s">
        <v>954</v>
      </c>
      <c r="C11" s="10" t="s">
        <v>955</v>
      </c>
      <c r="D11" s="12" t="s">
        <v>956</v>
      </c>
      <c r="E11" s="12" t="s">
        <v>957</v>
      </c>
      <c r="F11" s="10" t="s">
        <v>958</v>
      </c>
    </row>
    <row r="12" spans="2:6" x14ac:dyDescent="0.25">
      <c r="B12" s="11" t="s">
        <v>1029</v>
      </c>
      <c r="C12" s="10" t="s">
        <v>1030</v>
      </c>
      <c r="D12" s="12" t="s">
        <v>1063</v>
      </c>
      <c r="E12" s="12" t="s">
        <v>952</v>
      </c>
      <c r="F12" s="10" t="s">
        <v>1031</v>
      </c>
    </row>
    <row r="13" spans="2:6" x14ac:dyDescent="0.25">
      <c r="B13" s="11" t="s">
        <v>993</v>
      </c>
      <c r="C13" s="10" t="s">
        <v>994</v>
      </c>
      <c r="D13" s="12" t="s">
        <v>995</v>
      </c>
      <c r="E13" s="12" t="s">
        <v>952</v>
      </c>
      <c r="F13" s="10" t="s">
        <v>996</v>
      </c>
    </row>
    <row r="14" spans="2:6" x14ac:dyDescent="0.25">
      <c r="B14" s="11" t="s">
        <v>1013</v>
      </c>
      <c r="C14" s="10" t="s">
        <v>1014</v>
      </c>
      <c r="D14" s="12" t="s">
        <v>1015</v>
      </c>
      <c r="E14" s="12" t="s">
        <v>952</v>
      </c>
      <c r="F14" s="10" t="s">
        <v>1016</v>
      </c>
    </row>
    <row r="15" spans="2:6" x14ac:dyDescent="0.25">
      <c r="B15" s="11" t="s">
        <v>997</v>
      </c>
      <c r="C15" s="10" t="s">
        <v>998</v>
      </c>
      <c r="D15" s="12" t="s">
        <v>999</v>
      </c>
      <c r="E15" s="12" t="s">
        <v>952</v>
      </c>
      <c r="F15" s="10" t="s">
        <v>1000</v>
      </c>
    </row>
    <row r="16" spans="2:6" x14ac:dyDescent="0.25">
      <c r="B16" s="11" t="s">
        <v>1050</v>
      </c>
      <c r="C16" s="10" t="s">
        <v>1051</v>
      </c>
      <c r="D16" s="12" t="s">
        <v>1062</v>
      </c>
      <c r="E16" s="12" t="s">
        <v>1052</v>
      </c>
      <c r="F16" s="10" t="s">
        <v>1053</v>
      </c>
    </row>
    <row r="17" spans="2:6" x14ac:dyDescent="0.25">
      <c r="B17" s="11" t="s">
        <v>1054</v>
      </c>
      <c r="C17" s="10" t="s">
        <v>1055</v>
      </c>
      <c r="D17" s="12" t="s">
        <v>1057</v>
      </c>
      <c r="E17" s="12" t="s">
        <v>952</v>
      </c>
      <c r="F17" s="10" t="s">
        <v>1056</v>
      </c>
    </row>
    <row r="18" spans="2:6" x14ac:dyDescent="0.25">
      <c r="B18" s="11" t="s">
        <v>1035</v>
      </c>
      <c r="C18" s="10" t="s">
        <v>1036</v>
      </c>
      <c r="D18" s="12" t="s">
        <v>1037</v>
      </c>
      <c r="E18" s="12" t="s">
        <v>952</v>
      </c>
      <c r="F18" s="10" t="s">
        <v>1038</v>
      </c>
    </row>
    <row r="19" spans="2:6" x14ac:dyDescent="0.25">
      <c r="B19" s="11" t="s">
        <v>988</v>
      </c>
      <c r="C19" s="10" t="s">
        <v>989</v>
      </c>
      <c r="D19" s="12" t="s">
        <v>990</v>
      </c>
      <c r="E19" s="12" t="s">
        <v>991</v>
      </c>
      <c r="F19" s="10" t="s">
        <v>992</v>
      </c>
    </row>
    <row r="20" spans="2:6" x14ac:dyDescent="0.25">
      <c r="B20" s="11" t="s">
        <v>1286</v>
      </c>
      <c r="C20" s="10" t="s">
        <v>1287</v>
      </c>
      <c r="D20" s="12" t="s">
        <v>1288</v>
      </c>
      <c r="E20" s="12" t="s">
        <v>952</v>
      </c>
      <c r="F20" s="74" t="s">
        <v>1289</v>
      </c>
    </row>
    <row r="21" spans="2:6" x14ac:dyDescent="0.25">
      <c r="B21" s="11" t="s">
        <v>964</v>
      </c>
      <c r="C21" s="10" t="s">
        <v>965</v>
      </c>
      <c r="D21" s="12" t="s">
        <v>966</v>
      </c>
      <c r="E21" s="12" t="s">
        <v>957</v>
      </c>
      <c r="F21" s="10" t="s">
        <v>967</v>
      </c>
    </row>
    <row r="22" spans="2:6" x14ac:dyDescent="0.25">
      <c r="B22" s="11" t="s">
        <v>1001</v>
      </c>
      <c r="C22" s="10" t="s">
        <v>1002</v>
      </c>
      <c r="D22" s="12" t="s">
        <v>1003</v>
      </c>
      <c r="E22" s="12" t="s">
        <v>952</v>
      </c>
      <c r="F22" s="10" t="s">
        <v>1004</v>
      </c>
    </row>
    <row r="23" spans="2:6" x14ac:dyDescent="0.25">
      <c r="B23" s="11" t="s">
        <v>972</v>
      </c>
      <c r="C23" s="10" t="s">
        <v>973</v>
      </c>
      <c r="D23" s="12" t="s">
        <v>974</v>
      </c>
      <c r="E23" s="12" t="s">
        <v>952</v>
      </c>
      <c r="F23" s="10" t="s">
        <v>975</v>
      </c>
    </row>
    <row r="24" spans="2:6" x14ac:dyDescent="0.25">
      <c r="B24" s="11" t="s">
        <v>1060</v>
      </c>
      <c r="C24" s="10" t="s">
        <v>1061</v>
      </c>
      <c r="D24" s="12" t="s">
        <v>1059</v>
      </c>
      <c r="E24" s="12" t="s">
        <v>952</v>
      </c>
      <c r="F24" s="10" t="s">
        <v>1065</v>
      </c>
    </row>
    <row r="25" spans="2:6" x14ac:dyDescent="0.25">
      <c r="B25" s="11" t="s">
        <v>1043</v>
      </c>
      <c r="C25" s="10" t="s">
        <v>1044</v>
      </c>
      <c r="D25" s="12" t="s">
        <v>1045</v>
      </c>
      <c r="E25" s="12" t="s">
        <v>952</v>
      </c>
      <c r="F25" s="10" t="s">
        <v>1046</v>
      </c>
    </row>
    <row r="26" spans="2:6" x14ac:dyDescent="0.25">
      <c r="B26" s="11" t="s">
        <v>1021</v>
      </c>
      <c r="C26" s="10" t="s">
        <v>1022</v>
      </c>
      <c r="D26" s="12" t="s">
        <v>1023</v>
      </c>
      <c r="E26" s="12" t="s">
        <v>1024</v>
      </c>
      <c r="F26" s="10" t="s">
        <v>1025</v>
      </c>
    </row>
    <row r="27" spans="2:6" x14ac:dyDescent="0.25">
      <c r="B27" s="11" t="s">
        <v>949</v>
      </c>
      <c r="C27" s="10" t="s">
        <v>950</v>
      </c>
      <c r="D27" s="12" t="s">
        <v>951</v>
      </c>
      <c r="E27" s="12" t="s">
        <v>952</v>
      </c>
      <c r="F27" s="10" t="s">
        <v>953</v>
      </c>
    </row>
    <row r="28" spans="2:6" x14ac:dyDescent="0.25">
      <c r="B28" s="11" t="s">
        <v>1047</v>
      </c>
      <c r="C28" s="10" t="s">
        <v>1048</v>
      </c>
      <c r="D28" s="12" t="s">
        <v>1059</v>
      </c>
      <c r="E28" s="12" t="s">
        <v>952</v>
      </c>
      <c r="F28" s="10" t="s">
        <v>1049</v>
      </c>
    </row>
    <row r="29" spans="2:6" x14ac:dyDescent="0.25">
      <c r="B29" s="11" t="s">
        <v>1017</v>
      </c>
      <c r="C29" s="10" t="s">
        <v>1018</v>
      </c>
      <c r="D29" s="12" t="s">
        <v>1019</v>
      </c>
      <c r="E29" s="12" t="s">
        <v>952</v>
      </c>
      <c r="F29" s="10" t="s">
        <v>1020</v>
      </c>
    </row>
    <row r="30" spans="2:6" x14ac:dyDescent="0.25">
      <c r="B30" s="11" t="s">
        <v>983</v>
      </c>
      <c r="C30" s="10" t="s">
        <v>984</v>
      </c>
      <c r="D30" s="12" t="s">
        <v>985</v>
      </c>
      <c r="E30" s="12" t="s">
        <v>986</v>
      </c>
      <c r="F30" s="10" t="s">
        <v>987</v>
      </c>
    </row>
    <row r="31" spans="2:6" x14ac:dyDescent="0.25">
      <c r="B31" s="11" t="s">
        <v>1274</v>
      </c>
      <c r="C31" s="10" t="s">
        <v>1275</v>
      </c>
      <c r="D31" s="12" t="s">
        <v>1276</v>
      </c>
      <c r="E31" s="12" t="s">
        <v>952</v>
      </c>
      <c r="F31" s="74" t="s">
        <v>1273</v>
      </c>
    </row>
    <row r="32" spans="2:6" x14ac:dyDescent="0.25">
      <c r="B32" s="11" t="s">
        <v>1281</v>
      </c>
      <c r="C32" s="10" t="s">
        <v>1282</v>
      </c>
      <c r="D32" s="12" t="s">
        <v>1284</v>
      </c>
      <c r="E32" s="12" t="s">
        <v>1283</v>
      </c>
      <c r="F32" s="74" t="s">
        <v>1285</v>
      </c>
    </row>
    <row r="33" spans="2:6" x14ac:dyDescent="0.25">
      <c r="B33" s="11" t="s">
        <v>968</v>
      </c>
      <c r="C33" s="10" t="s">
        <v>969</v>
      </c>
      <c r="D33" s="12" t="s">
        <v>970</v>
      </c>
      <c r="E33" s="12" t="s">
        <v>952</v>
      </c>
      <c r="F33" s="10" t="s">
        <v>971</v>
      </c>
    </row>
    <row r="34" spans="2:6" x14ac:dyDescent="0.25">
      <c r="B34" s="11" t="s">
        <v>1039</v>
      </c>
      <c r="C34" s="10" t="s">
        <v>1040</v>
      </c>
      <c r="D34" s="12" t="s">
        <v>1041</v>
      </c>
      <c r="E34" s="12" t="s">
        <v>952</v>
      </c>
      <c r="F34" s="10" t="s">
        <v>1042</v>
      </c>
    </row>
    <row r="35" spans="2:6" x14ac:dyDescent="0.25">
      <c r="B35" s="11" t="s">
        <v>1005</v>
      </c>
      <c r="C35" s="10" t="s">
        <v>1006</v>
      </c>
      <c r="D35" s="12" t="s">
        <v>1007</v>
      </c>
      <c r="E35" s="12" t="s">
        <v>952</v>
      </c>
      <c r="F35" s="10" t="s">
        <v>1008</v>
      </c>
    </row>
    <row r="36" spans="2:6" x14ac:dyDescent="0.25">
      <c r="B36" s="11" t="s">
        <v>1009</v>
      </c>
      <c r="C36" s="10" t="s">
        <v>1010</v>
      </c>
      <c r="D36" s="12" t="s">
        <v>1011</v>
      </c>
      <c r="E36" s="12" t="s">
        <v>952</v>
      </c>
      <c r="F36" s="10" t="s">
        <v>1012</v>
      </c>
    </row>
    <row r="37" spans="2:6" x14ac:dyDescent="0.25">
      <c r="B37" s="11" t="s">
        <v>1277</v>
      </c>
      <c r="C37" s="10" t="s">
        <v>1278</v>
      </c>
      <c r="D37" s="12" t="s">
        <v>1280</v>
      </c>
      <c r="E37" s="12" t="s">
        <v>952</v>
      </c>
      <c r="F37" s="74" t="s">
        <v>1279</v>
      </c>
    </row>
    <row r="38" spans="2:6" x14ac:dyDescent="0.25">
      <c r="B38" s="11" t="s">
        <v>1290</v>
      </c>
      <c r="C38" s="10" t="s">
        <v>1291</v>
      </c>
      <c r="D38" s="12" t="s">
        <v>1292</v>
      </c>
      <c r="E38" s="12" t="s">
        <v>952</v>
      </c>
      <c r="F38" s="74" t="s">
        <v>1293</v>
      </c>
    </row>
    <row r="39" spans="2:6" x14ac:dyDescent="0.25">
      <c r="B39" s="11" t="s">
        <v>979</v>
      </c>
      <c r="C39" s="10" t="s">
        <v>980</v>
      </c>
      <c r="D39" s="12" t="s">
        <v>981</v>
      </c>
      <c r="E39" s="12" t="s">
        <v>952</v>
      </c>
      <c r="F39" s="10" t="s">
        <v>982</v>
      </c>
    </row>
    <row r="40" spans="2:6" x14ac:dyDescent="0.25">
      <c r="B40" s="11" t="s">
        <v>1032</v>
      </c>
      <c r="C40" s="10" t="s">
        <v>1033</v>
      </c>
      <c r="D40" s="12" t="s">
        <v>1058</v>
      </c>
      <c r="E40" s="12" t="s">
        <v>952</v>
      </c>
      <c r="F40" s="10" t="s">
        <v>1034</v>
      </c>
    </row>
    <row r="41" spans="2:6" x14ac:dyDescent="0.25">
      <c r="B41" s="11" t="s">
        <v>1026</v>
      </c>
      <c r="C41" s="10" t="s">
        <v>1027</v>
      </c>
      <c r="D41" s="12" t="s">
        <v>1064</v>
      </c>
      <c r="E41" s="12" t="s">
        <v>952</v>
      </c>
      <c r="F41" s="10" t="s">
        <v>1028</v>
      </c>
    </row>
    <row r="42" spans="2:6" x14ac:dyDescent="0.25">
      <c r="B42" s="11" t="s">
        <v>959</v>
      </c>
      <c r="C42" s="10" t="s">
        <v>960</v>
      </c>
      <c r="D42" s="12" t="s">
        <v>961</v>
      </c>
      <c r="E42" s="12" t="s">
        <v>962</v>
      </c>
      <c r="F42" s="10" t="s">
        <v>963</v>
      </c>
    </row>
    <row r="43" spans="2:6" x14ac:dyDescent="0.25">
      <c r="B43" s="11" t="s">
        <v>976</v>
      </c>
      <c r="C43" s="10" t="s">
        <v>977</v>
      </c>
      <c r="E43" s="12" t="s">
        <v>952</v>
      </c>
      <c r="F43" s="10" t="s">
        <v>978</v>
      </c>
    </row>
    <row r="45" spans="2:6" x14ac:dyDescent="0.25">
      <c r="B45" s="38" t="s">
        <v>1071</v>
      </c>
    </row>
    <row r="47" spans="2:6" x14ac:dyDescent="0.25">
      <c r="B47" s="37" t="s">
        <v>1066</v>
      </c>
    </row>
    <row r="48" spans="2:6" x14ac:dyDescent="0.25">
      <c r="B48" s="39" t="s">
        <v>1067</v>
      </c>
    </row>
  </sheetData>
  <sortState xmlns:xlrd2="http://schemas.microsoft.com/office/spreadsheetml/2017/richdata2" ref="B11:F43">
    <sortCondition ref="B10:B43"/>
  </sortState>
  <phoneticPr fontId="8" type="noConversion"/>
  <hyperlinks>
    <hyperlink ref="B48" r:id="rId1" xr:uid="{90070315-A957-4C01-BC94-9063CB534729}"/>
    <hyperlink ref="F31" r:id="rId2" xr:uid="{AF1DAE29-96E2-43F7-A180-BA37BCA2D52B}"/>
    <hyperlink ref="F37" r:id="rId3" xr:uid="{1211F57C-6F80-474D-87CD-159B27B8DEB2}"/>
    <hyperlink ref="F32" r:id="rId4" xr:uid="{A45362CD-B0D3-495D-AA02-BB11A8F2EE6B}"/>
    <hyperlink ref="F20" r:id="rId5" xr:uid="{CB6600B4-ABC0-4792-A935-B81B011EB2B2}"/>
    <hyperlink ref="F38" r:id="rId6" xr:uid="{93FE5A25-0270-4281-BC0F-047E79C4133D}"/>
  </hyperlinks>
  <pageMargins left="0.7" right="0.7" top="0.75" bottom="0.75" header="0.3" footer="0.3"/>
  <pageSetup orientation="portrait" horizontalDpi="4294967293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2" customWidth="1"/>
    <col min="2" max="3" width="18" customWidth="1"/>
    <col min="4" max="4" width="38" customWidth="1"/>
    <col min="5" max="5" width="24" customWidth="1"/>
    <col min="6" max="6" width="8" customWidth="1"/>
    <col min="7" max="7" width="26" customWidth="1"/>
    <col min="8" max="9" width="10" customWidth="1"/>
    <col min="10" max="10" width="12" customWidth="1"/>
    <col min="11" max="11" width="18" customWidth="1"/>
    <col min="12" max="12" width="22" customWidth="1"/>
    <col min="13" max="13" width="18" customWidth="1"/>
    <col min="14" max="14" width="34" customWidth="1"/>
  </cols>
  <sheetData>
    <row r="1" spans="1:14" x14ac:dyDescent="0.25">
      <c r="A1" s="29" t="s">
        <v>0</v>
      </c>
      <c r="B1" s="1" t="s">
        <v>1</v>
      </c>
      <c r="C1" s="1" t="s">
        <v>435</v>
      </c>
      <c r="D1" s="29" t="s">
        <v>2</v>
      </c>
      <c r="E1" s="29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 t="s">
        <v>14</v>
      </c>
      <c r="C2" t="s">
        <v>133</v>
      </c>
      <c r="D2" t="s">
        <v>15</v>
      </c>
      <c r="E2" t="s">
        <v>16</v>
      </c>
      <c r="F2">
        <v>2018</v>
      </c>
      <c r="G2" t="s">
        <v>17</v>
      </c>
      <c r="H2" t="s">
        <v>18</v>
      </c>
      <c r="J2" t="s">
        <v>19</v>
      </c>
      <c r="K2" t="s">
        <v>20</v>
      </c>
    </row>
  </sheetData>
  <dataValidations count="2">
    <dataValidation type="list" sqref="B2:B500" xr:uid="{00000000-0002-0000-0000-000000000000}">
      <formula1>source_type_list</formula1>
    </dataValidation>
    <dataValidation type="list" allowBlank="1" showInputMessage="1" showErrorMessage="1" sqref="C2:C500" xr:uid="{5857D77D-031E-4940-925B-75A5DB831417}">
      <formula1>yes_no_list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DA83-9221-44ED-BA9A-5B249B5748C9}">
  <dimension ref="A1:B3"/>
  <sheetViews>
    <sheetView workbookViewId="0">
      <selection activeCell="B15" sqref="B15"/>
    </sheetView>
  </sheetViews>
  <sheetFormatPr defaultRowHeight="15" x14ac:dyDescent="0.25"/>
  <cols>
    <col min="1" max="1" width="14.28515625" customWidth="1"/>
    <col min="2" max="2" width="19.140625" customWidth="1"/>
  </cols>
  <sheetData>
    <row r="1" spans="1:2" x14ac:dyDescent="0.25">
      <c r="A1" s="29" t="s">
        <v>0</v>
      </c>
      <c r="B1" s="29" t="s">
        <v>414</v>
      </c>
    </row>
    <row r="2" spans="1:2" x14ac:dyDescent="0.25">
      <c r="A2" t="s">
        <v>13</v>
      </c>
      <c r="B2" t="s">
        <v>415</v>
      </c>
    </row>
    <row r="3" spans="1:2" x14ac:dyDescent="0.25">
      <c r="A3" t="s">
        <v>13</v>
      </c>
      <c r="B3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"/>
  <sheetViews>
    <sheetView workbookViewId="0">
      <pane ySplit="1" topLeftCell="A2" activePane="bottomLeft" state="frozen"/>
      <selection activeCell="B1" sqref="B1"/>
      <selection pane="bottomLeft" activeCell="G2" sqref="G2"/>
    </sheetView>
  </sheetViews>
  <sheetFormatPr defaultRowHeight="15" x14ac:dyDescent="0.25"/>
  <cols>
    <col min="1" max="2" width="11.7109375" customWidth="1"/>
    <col min="3" max="3" width="16.140625" customWidth="1"/>
    <col min="4" max="4" width="14" customWidth="1"/>
    <col min="5" max="5" width="19.85546875" customWidth="1"/>
    <col min="6" max="7" width="19.5703125" customWidth="1"/>
    <col min="8" max="8" width="14" customWidth="1"/>
    <col min="9" max="9" width="23.28515625" customWidth="1"/>
    <col min="10" max="10" width="18.7109375" customWidth="1"/>
    <col min="11" max="11" width="27.85546875" customWidth="1"/>
    <col min="12" max="13" width="22.42578125" customWidth="1"/>
    <col min="14" max="14" width="22.140625" customWidth="1"/>
    <col min="15" max="16" width="28.5703125" customWidth="1"/>
    <col min="17" max="17" width="30.28515625" customWidth="1"/>
    <col min="18" max="18" width="28.5703125" customWidth="1"/>
    <col min="19" max="19" width="22.140625" customWidth="1"/>
    <col min="20" max="20" width="16" customWidth="1"/>
    <col min="21" max="21" width="20.42578125" customWidth="1"/>
    <col min="22" max="22" width="23.140625" customWidth="1"/>
    <col min="23" max="24" width="20" customWidth="1"/>
    <col min="25" max="25" width="22.28515625" customWidth="1"/>
    <col min="26" max="26" width="20" customWidth="1"/>
    <col min="27" max="27" width="23.7109375" customWidth="1"/>
    <col min="28" max="29" width="20.85546875" customWidth="1"/>
    <col min="30" max="30" width="20" customWidth="1"/>
    <col min="31" max="32" width="15.7109375" customWidth="1"/>
    <col min="33" max="33" width="16" customWidth="1"/>
    <col min="34" max="34" width="17.42578125" customWidth="1"/>
    <col min="35" max="35" width="20.85546875" customWidth="1"/>
    <col min="36" max="36" width="20" customWidth="1"/>
    <col min="37" max="37" width="17.5703125" customWidth="1"/>
    <col min="38" max="38" width="46.42578125" customWidth="1"/>
  </cols>
  <sheetData>
    <row r="1" spans="1:38" ht="30" x14ac:dyDescent="0.25">
      <c r="A1" s="29" t="s">
        <v>21</v>
      </c>
      <c r="B1" s="29" t="s">
        <v>0</v>
      </c>
      <c r="C1" s="6" t="s">
        <v>941</v>
      </c>
      <c r="D1" s="1" t="s">
        <v>22</v>
      </c>
      <c r="E1" s="29" t="s">
        <v>23</v>
      </c>
      <c r="F1" s="1" t="s">
        <v>24</v>
      </c>
      <c r="G1" s="1" t="s">
        <v>417</v>
      </c>
      <c r="H1" s="1" t="s">
        <v>416</v>
      </c>
      <c r="I1" s="29" t="s">
        <v>25</v>
      </c>
      <c r="J1" s="29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334</v>
      </c>
      <c r="S1" s="1" t="s">
        <v>34</v>
      </c>
      <c r="T1" s="1" t="s">
        <v>35</v>
      </c>
      <c r="U1" s="1" t="s">
        <v>36</v>
      </c>
      <c r="V1" s="2" t="s">
        <v>37</v>
      </c>
      <c r="W1" s="2" t="s">
        <v>335</v>
      </c>
      <c r="X1" s="2" t="s">
        <v>336</v>
      </c>
      <c r="Y1" s="1" t="s">
        <v>429</v>
      </c>
      <c r="Z1" s="2" t="s">
        <v>337</v>
      </c>
      <c r="AA1" s="1" t="s">
        <v>1092</v>
      </c>
      <c r="AB1" s="1" t="s">
        <v>1097</v>
      </c>
      <c r="AC1" s="1" t="s">
        <v>1093</v>
      </c>
      <c r="AD1" s="1" t="s">
        <v>1094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2" t="s">
        <v>43</v>
      </c>
      <c r="AK1" s="2" t="s">
        <v>44</v>
      </c>
      <c r="AL1" s="1" t="s">
        <v>12</v>
      </c>
    </row>
    <row r="2" spans="1:38" x14ac:dyDescent="0.25">
      <c r="A2" t="s">
        <v>700</v>
      </c>
      <c r="B2" t="s">
        <v>13</v>
      </c>
      <c r="D2" t="s">
        <v>45</v>
      </c>
      <c r="E2" t="s">
        <v>131</v>
      </c>
      <c r="F2" t="s">
        <v>46</v>
      </c>
      <c r="I2">
        <v>350</v>
      </c>
      <c r="J2">
        <v>0.46</v>
      </c>
      <c r="O2">
        <v>750</v>
      </c>
      <c r="Q2">
        <v>1050</v>
      </c>
      <c r="S2">
        <v>20</v>
      </c>
      <c r="AJ2">
        <v>2</v>
      </c>
      <c r="AK2" s="4">
        <v>43490</v>
      </c>
      <c r="AL2" s="5"/>
    </row>
  </sheetData>
  <dataValidations count="10">
    <dataValidation type="list" sqref="E2:E500" xr:uid="{00000000-0002-0000-0100-000000000000}">
      <formula1>material_class_list</formula1>
    </dataValidation>
    <dataValidation type="list" allowBlank="1" showInputMessage="1" showErrorMessage="1" sqref="F2:F118" xr:uid="{4B7CEFF2-450C-45C6-94EF-F599B771A550}">
      <formula1>cement_type_list</formula1>
    </dataValidation>
    <dataValidation type="list" allowBlank="1" showInputMessage="1" showErrorMessage="1" sqref="AE2:AE119" xr:uid="{4F3D169A-6914-4DCF-9C29-0E58916A8D99}">
      <formula1>fiber_type_list</formula1>
    </dataValidation>
    <dataValidation type="list" allowBlank="1" showInputMessage="1" showErrorMessage="1" sqref="T2:T166" xr:uid="{78A2F3F9-D909-4CAC-81CC-3F9B1C25CBC5}">
      <formula1>aggregate_type_list</formula1>
    </dataValidation>
    <dataValidation type="list" allowBlank="1" showInputMessage="1" showErrorMessage="1" sqref="U2:U177" xr:uid="{C302C228-6FDC-497A-A9A7-8807F99B7B15}">
      <formula1>superplasticizer_type_list</formula1>
    </dataValidation>
    <dataValidation type="list" allowBlank="1" showInputMessage="1" showErrorMessage="1" sqref="AE2:AE122 G2:H500" xr:uid="{2221A5EB-E76A-4F41-B3C6-5BDA6EB7505C}">
      <formula1>yes_no_list</formula1>
    </dataValidation>
    <dataValidation type="list" allowBlank="1" showInputMessage="1" showErrorMessage="1" sqref="W2:W500" xr:uid="{52C102A1-6219-444D-A0CA-42AA8D8C25B0}">
      <formula1>water_reducer_type_list</formula1>
    </dataValidation>
    <dataValidation type="list" allowBlank="1" showInputMessage="1" showErrorMessage="1" sqref="Y2:Y193" xr:uid="{22005C74-4AA5-40A3-A9B3-B38EFE46CDA6}">
      <formula1>air_entrainment_type_list</formula1>
    </dataValidation>
    <dataValidation type="list" allowBlank="1" showInputMessage="1" showErrorMessage="1" sqref="AA2:AA200" xr:uid="{48702218-328C-4C66-B682-8413A2A74D0B}">
      <formula1>rheology_modifier_type_list</formula1>
    </dataValidation>
    <dataValidation type="list" allowBlank="1" showInputMessage="1" showErrorMessage="1" sqref="AC2:AC205" xr:uid="{A650152F-6D5D-4D80-8728-2CF737584849}">
      <formula1>hydration_accelerator_type_list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E909-0A14-4ABB-A5DB-56B2E8A753BA}">
  <dimension ref="A1:I2"/>
  <sheetViews>
    <sheetView topLeftCell="C1" workbookViewId="0">
      <pane ySplit="1" topLeftCell="A2" activePane="bottomLeft" state="frozen"/>
      <selection activeCell="C1" sqref="C1"/>
      <selection pane="bottomLeft" activeCell="I1" sqref="I1"/>
    </sheetView>
  </sheetViews>
  <sheetFormatPr defaultRowHeight="15" x14ac:dyDescent="0.25"/>
  <cols>
    <col min="1" max="1" width="27.140625" customWidth="1"/>
    <col min="2" max="2" width="12" customWidth="1"/>
    <col min="3" max="3" width="27.28515625" customWidth="1"/>
    <col min="4" max="8" width="28" customWidth="1"/>
    <col min="9" max="9" width="14.140625" customWidth="1"/>
  </cols>
  <sheetData>
    <row r="1" spans="1:9" ht="30" x14ac:dyDescent="0.25">
      <c r="A1" s="33" t="s">
        <v>1258</v>
      </c>
      <c r="B1" s="33" t="s">
        <v>0</v>
      </c>
      <c r="C1" s="33" t="s">
        <v>1257</v>
      </c>
      <c r="D1" s="23" t="s">
        <v>62</v>
      </c>
      <c r="E1" s="32" t="s">
        <v>63</v>
      </c>
      <c r="F1" s="32" t="s">
        <v>65</v>
      </c>
      <c r="G1" s="23" t="s">
        <v>64</v>
      </c>
      <c r="H1" s="23" t="s">
        <v>333</v>
      </c>
      <c r="I1" s="24" t="s">
        <v>12</v>
      </c>
    </row>
    <row r="2" spans="1:9" x14ac:dyDescent="0.25">
      <c r="A2" t="s">
        <v>1256</v>
      </c>
      <c r="B2" t="s">
        <v>13</v>
      </c>
      <c r="C2" t="s">
        <v>330</v>
      </c>
      <c r="D2" t="s">
        <v>68</v>
      </c>
    </row>
  </sheetData>
  <dataValidations count="1">
    <dataValidation type="list" allowBlank="1" showInputMessage="1" showErrorMessage="1" sqref="C2:C512" xr:uid="{DB17693B-24AA-47D2-9F35-590CE1C350AB}">
      <formula1>reinforcement_material_list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2C67-EA00-489C-A4CE-340DDD71D6AE}">
  <dimension ref="A1:E2"/>
  <sheetViews>
    <sheetView workbookViewId="0">
      <selection activeCell="F26" sqref="F26"/>
    </sheetView>
  </sheetViews>
  <sheetFormatPr defaultRowHeight="15" x14ac:dyDescent="0.25"/>
  <cols>
    <col min="1" max="1" width="17.7109375" customWidth="1"/>
    <col min="2" max="2" width="12" customWidth="1"/>
    <col min="3" max="3" width="25.7109375" customWidth="1"/>
    <col min="4" max="4" width="33.5703125" customWidth="1"/>
  </cols>
  <sheetData>
    <row r="1" spans="1:5" s="21" customFormat="1" x14ac:dyDescent="0.25">
      <c r="A1" s="30" t="s">
        <v>342</v>
      </c>
      <c r="B1" s="31" t="s">
        <v>0</v>
      </c>
      <c r="C1" s="31" t="s">
        <v>1098</v>
      </c>
      <c r="D1" s="30" t="s">
        <v>1249</v>
      </c>
      <c r="E1" s="21" t="s">
        <v>1263</v>
      </c>
    </row>
    <row r="2" spans="1:5" x14ac:dyDescent="0.25">
      <c r="A2" t="s">
        <v>346</v>
      </c>
      <c r="B2" t="s">
        <v>13</v>
      </c>
      <c r="C2" t="s">
        <v>137</v>
      </c>
      <c r="D2" t="s">
        <v>462</v>
      </c>
    </row>
  </sheetData>
  <phoneticPr fontId="8" type="noConversion"/>
  <dataValidations count="1">
    <dataValidation type="list" allowBlank="1" showInputMessage="1" showErrorMessage="1" sqref="C2:C106" xr:uid="{0B6F116A-0084-481A-95F0-5A0607DE4575}">
      <formula1>specimen_geometry_type_list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397E-BE45-4D4F-BA2B-A22F50B301B7}">
  <dimension ref="A1:Q6"/>
  <sheetViews>
    <sheetView workbookViewId="0">
      <selection activeCell="F12" sqref="F12"/>
    </sheetView>
  </sheetViews>
  <sheetFormatPr defaultRowHeight="15" x14ac:dyDescent="0.25"/>
  <cols>
    <col min="1" max="1" width="21.42578125" customWidth="1"/>
    <col min="2" max="3" width="14.85546875" customWidth="1"/>
    <col min="4" max="4" width="24.42578125" customWidth="1"/>
    <col min="5" max="5" width="31.7109375" customWidth="1"/>
    <col min="6" max="6" width="21.140625" customWidth="1"/>
    <col min="7" max="7" width="19.85546875" customWidth="1"/>
    <col min="8" max="9" width="21.7109375" customWidth="1"/>
    <col min="10" max="10" width="24.42578125" customWidth="1"/>
    <col min="11" max="11" width="21" customWidth="1"/>
    <col min="12" max="12" width="20.85546875" customWidth="1"/>
    <col min="13" max="13" width="15.42578125" customWidth="1"/>
    <col min="14" max="14" width="15.5703125" customWidth="1"/>
    <col min="15" max="15" width="10.42578125" bestFit="1" customWidth="1"/>
    <col min="16" max="16" width="17.42578125" customWidth="1"/>
    <col min="17" max="17" width="18.7109375" customWidth="1"/>
  </cols>
  <sheetData>
    <row r="1" spans="1:17" ht="15.75" thickBot="1" x14ac:dyDescent="0.3">
      <c r="D1" s="93" t="s">
        <v>1354</v>
      </c>
      <c r="E1" s="91"/>
      <c r="F1" s="91"/>
      <c r="G1" s="91"/>
      <c r="H1" s="91"/>
      <c r="I1" s="90" t="s">
        <v>1355</v>
      </c>
      <c r="J1" s="91"/>
      <c r="K1" s="91"/>
      <c r="L1" s="91"/>
      <c r="M1" s="91"/>
      <c r="N1" s="92"/>
      <c r="O1" s="93" t="s">
        <v>1356</v>
      </c>
      <c r="P1" s="91"/>
      <c r="Q1" s="92"/>
    </row>
    <row r="2" spans="1:17" ht="30" x14ac:dyDescent="0.25">
      <c r="A2" s="68" t="s">
        <v>421</v>
      </c>
      <c r="B2" s="29" t="s">
        <v>0</v>
      </c>
      <c r="C2" s="69" t="s">
        <v>342</v>
      </c>
      <c r="D2" s="75" t="s">
        <v>1367</v>
      </c>
      <c r="E2" s="75" t="s">
        <v>1380</v>
      </c>
      <c r="F2" s="75" t="s">
        <v>1368</v>
      </c>
      <c r="G2" s="75" t="s">
        <v>1369</v>
      </c>
      <c r="H2" s="75" t="s">
        <v>1370</v>
      </c>
      <c r="I2" s="75" t="s">
        <v>1371</v>
      </c>
      <c r="J2" s="75" t="s">
        <v>1372</v>
      </c>
      <c r="K2" s="75" t="s">
        <v>1373</v>
      </c>
      <c r="L2" s="75" t="s">
        <v>1374</v>
      </c>
      <c r="M2" s="75" t="s">
        <v>1375</v>
      </c>
      <c r="N2" s="75" t="s">
        <v>1376</v>
      </c>
      <c r="O2" s="75" t="s">
        <v>1377</v>
      </c>
      <c r="P2" s="75" t="s">
        <v>1378</v>
      </c>
      <c r="Q2" s="75" t="s">
        <v>1379</v>
      </c>
    </row>
    <row r="3" spans="1:17" ht="30" x14ac:dyDescent="0.25">
      <c r="A3" t="s">
        <v>422</v>
      </c>
      <c r="B3" t="s">
        <v>13</v>
      </c>
      <c r="C3" t="s">
        <v>1266</v>
      </c>
      <c r="E3" t="s">
        <v>1357</v>
      </c>
      <c r="F3" s="5" t="s">
        <v>1358</v>
      </c>
      <c r="G3" t="s">
        <v>1359</v>
      </c>
      <c r="H3" t="s">
        <v>720</v>
      </c>
      <c r="I3" t="s">
        <v>774</v>
      </c>
      <c r="J3" t="s">
        <v>720</v>
      </c>
      <c r="K3" t="s">
        <v>720</v>
      </c>
      <c r="L3" t="s">
        <v>720</v>
      </c>
      <c r="M3" s="5" t="s">
        <v>1360</v>
      </c>
      <c r="O3" t="s">
        <v>1361</v>
      </c>
      <c r="P3">
        <v>3</v>
      </c>
    </row>
    <row r="4" spans="1:17" x14ac:dyDescent="0.25">
      <c r="F4" t="s">
        <v>1362</v>
      </c>
      <c r="G4" t="s">
        <v>1363</v>
      </c>
      <c r="O4" t="s">
        <v>1364</v>
      </c>
      <c r="P4">
        <v>4</v>
      </c>
    </row>
    <row r="5" spans="1:17" x14ac:dyDescent="0.25">
      <c r="G5" t="s">
        <v>1365</v>
      </c>
      <c r="P5" t="s">
        <v>1366</v>
      </c>
    </row>
    <row r="6" spans="1:17" x14ac:dyDescent="0.25">
      <c r="P6" t="s">
        <v>1366</v>
      </c>
    </row>
  </sheetData>
  <mergeCells count="3">
    <mergeCell ref="I1:N1"/>
    <mergeCell ref="O1:Q1"/>
    <mergeCell ref="D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654C-345E-4ACE-B878-2252E7BFF685}">
  <dimension ref="A1:H2"/>
  <sheetViews>
    <sheetView workbookViewId="0">
      <selection activeCell="C2" sqref="C2"/>
    </sheetView>
  </sheetViews>
  <sheetFormatPr defaultRowHeight="15" x14ac:dyDescent="0.25"/>
  <cols>
    <col min="1" max="1" width="27" customWidth="1"/>
    <col min="2" max="2" width="12" customWidth="1"/>
    <col min="3" max="3" width="13.28515625" customWidth="1"/>
    <col min="4" max="4" width="26.28515625" customWidth="1"/>
    <col min="5" max="5" width="25.42578125" customWidth="1"/>
    <col min="6" max="6" width="24.85546875" customWidth="1"/>
    <col min="7" max="7" width="26.5703125" customWidth="1"/>
    <col min="8" max="8" width="14.140625" customWidth="1"/>
  </cols>
  <sheetData>
    <row r="1" spans="1:8" x14ac:dyDescent="0.25">
      <c r="A1" s="30" t="s">
        <v>1253</v>
      </c>
      <c r="B1" s="31" t="s">
        <v>0</v>
      </c>
      <c r="C1" s="31" t="s">
        <v>342</v>
      </c>
      <c r="D1" s="31" t="s">
        <v>52</v>
      </c>
      <c r="E1" s="31" t="s">
        <v>1069</v>
      </c>
      <c r="F1" s="31" t="s">
        <v>459</v>
      </c>
      <c r="G1" s="40" t="s">
        <v>940</v>
      </c>
      <c r="H1" s="40" t="s">
        <v>1263</v>
      </c>
    </row>
    <row r="2" spans="1:8" x14ac:dyDescent="0.25">
      <c r="A2" t="s">
        <v>1254</v>
      </c>
      <c r="B2" t="s">
        <v>13</v>
      </c>
      <c r="C2" t="s">
        <v>346</v>
      </c>
      <c r="D2" t="s">
        <v>133</v>
      </c>
      <c r="E2" t="s">
        <v>133</v>
      </c>
      <c r="F2" t="s">
        <v>142</v>
      </c>
      <c r="H2" s="67"/>
    </row>
  </sheetData>
  <dataValidations count="1">
    <dataValidation type="list" allowBlank="1" showInputMessage="1" showErrorMessage="1" sqref="F2:F103 D2:E94" xr:uid="{F142F232-CB5B-4816-A7AA-CFA2B6A75EB8}">
      <formula1>yes_no_list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981F-DDC6-4B2B-BAAB-79B6ECE2AF23}">
  <dimension ref="A1:AM242"/>
  <sheetViews>
    <sheetView workbookViewId="0">
      <pane ySplit="2" topLeftCell="A3" activePane="bottomLeft" state="frozen"/>
      <selection activeCell="C1" sqref="C1"/>
      <selection pane="bottomLeft" activeCell="AL2" sqref="AL2"/>
    </sheetView>
  </sheetViews>
  <sheetFormatPr defaultRowHeight="15" x14ac:dyDescent="0.25"/>
  <cols>
    <col min="1" max="1" width="19.42578125" customWidth="1"/>
    <col min="2" max="2" width="12" customWidth="1"/>
    <col min="3" max="3" width="26.7109375" customWidth="1"/>
    <col min="4" max="4" width="26.42578125" customWidth="1"/>
    <col min="5" max="5" width="14.140625" customWidth="1"/>
    <col min="6" max="6" width="23.28515625" customWidth="1"/>
    <col min="7" max="7" width="14.5703125" customWidth="1"/>
    <col min="8" max="8" width="18.140625" style="34" customWidth="1"/>
    <col min="9" max="9" width="16.42578125" customWidth="1"/>
    <col min="10" max="10" width="19.5703125" customWidth="1"/>
    <col min="11" max="11" width="26.5703125" customWidth="1"/>
    <col min="12" max="12" width="22.42578125" customWidth="1"/>
    <col min="13" max="17" width="15.28515625" customWidth="1"/>
    <col min="18" max="18" width="20.85546875" style="34" customWidth="1"/>
    <col min="19" max="19" width="15.7109375" customWidth="1"/>
    <col min="20" max="20" width="17.7109375" customWidth="1"/>
    <col min="21" max="21" width="15.42578125" customWidth="1"/>
    <col min="22" max="22" width="13.7109375" customWidth="1"/>
    <col min="23" max="23" width="14.140625" customWidth="1"/>
    <col min="24" max="24" width="13.28515625" customWidth="1"/>
    <col min="26" max="26" width="12.85546875" customWidth="1"/>
    <col min="27" max="28" width="13.85546875" customWidth="1"/>
    <col min="29" max="29" width="12.140625" customWidth="1"/>
    <col min="30" max="30" width="11.7109375" customWidth="1"/>
    <col min="31" max="31" width="12.5703125" customWidth="1"/>
    <col min="36" max="37" width="13.85546875" customWidth="1"/>
    <col min="38" max="38" width="12.140625" style="14" customWidth="1"/>
  </cols>
  <sheetData>
    <row r="1" spans="1:39" x14ac:dyDescent="0.25">
      <c r="A1" s="76" t="s">
        <v>388</v>
      </c>
      <c r="B1" s="76"/>
      <c r="C1" s="76"/>
      <c r="D1" s="76"/>
      <c r="E1" s="76"/>
      <c r="F1" s="76"/>
      <c r="G1" s="76"/>
      <c r="H1" s="85" t="s">
        <v>1123</v>
      </c>
      <c r="I1" s="85"/>
      <c r="J1" s="85"/>
      <c r="K1" s="85"/>
      <c r="L1" s="85"/>
      <c r="M1" s="85"/>
      <c r="N1" s="85"/>
      <c r="O1" s="85"/>
      <c r="P1" s="85"/>
      <c r="Q1" s="85"/>
      <c r="R1" s="94" t="s">
        <v>436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43" t="s">
        <v>460</v>
      </c>
    </row>
    <row r="2" spans="1:39" ht="45" x14ac:dyDescent="0.25">
      <c r="A2" s="33" t="s">
        <v>1265</v>
      </c>
      <c r="B2" s="33" t="s">
        <v>0</v>
      </c>
      <c r="C2" s="33" t="s">
        <v>1258</v>
      </c>
      <c r="D2" s="33" t="s">
        <v>1253</v>
      </c>
      <c r="E2" s="24" t="s">
        <v>12</v>
      </c>
      <c r="F2" s="33" t="s">
        <v>1264</v>
      </c>
      <c r="G2" s="33" t="s">
        <v>443</v>
      </c>
      <c r="H2" s="36" t="s">
        <v>1267</v>
      </c>
      <c r="I2" s="32" t="s">
        <v>58</v>
      </c>
      <c r="J2" s="33" t="s">
        <v>1095</v>
      </c>
      <c r="K2" s="32" t="s">
        <v>59</v>
      </c>
      <c r="L2" s="32" t="s">
        <v>60</v>
      </c>
      <c r="M2" s="32" t="s">
        <v>61</v>
      </c>
      <c r="N2" s="26" t="s">
        <v>1096</v>
      </c>
      <c r="O2" s="26" t="s">
        <v>434</v>
      </c>
      <c r="P2" s="26" t="s">
        <v>338</v>
      </c>
      <c r="Q2" s="25" t="s">
        <v>339</v>
      </c>
      <c r="R2" s="35" t="s">
        <v>445</v>
      </c>
      <c r="S2" s="28" t="s">
        <v>446</v>
      </c>
      <c r="T2" s="28" t="s">
        <v>447</v>
      </c>
      <c r="U2" s="28" t="s">
        <v>442</v>
      </c>
      <c r="V2" s="28" t="s">
        <v>448</v>
      </c>
      <c r="W2" s="27" t="s">
        <v>457</v>
      </c>
      <c r="X2" s="27" t="s">
        <v>458</v>
      </c>
      <c r="Y2" s="28" t="s">
        <v>437</v>
      </c>
      <c r="Z2" s="28" t="s">
        <v>438</v>
      </c>
      <c r="AA2" s="28" t="s">
        <v>439</v>
      </c>
      <c r="AB2" s="28" t="s">
        <v>440</v>
      </c>
      <c r="AC2" s="28" t="s">
        <v>441</v>
      </c>
      <c r="AD2" s="28" t="s">
        <v>449</v>
      </c>
      <c r="AE2" s="28" t="s">
        <v>450</v>
      </c>
      <c r="AF2" s="28" t="s">
        <v>702</v>
      </c>
      <c r="AG2" s="28" t="s">
        <v>451</v>
      </c>
      <c r="AH2" s="28" t="s">
        <v>452</v>
      </c>
      <c r="AI2" s="28" t="s">
        <v>453</v>
      </c>
      <c r="AJ2" s="28" t="s">
        <v>454</v>
      </c>
      <c r="AK2" s="28" t="s">
        <v>455</v>
      </c>
      <c r="AL2" s="42" t="s">
        <v>456</v>
      </c>
      <c r="AM2" s="41" t="s">
        <v>433</v>
      </c>
    </row>
    <row r="3" spans="1:39" x14ac:dyDescent="0.25">
      <c r="A3" t="s">
        <v>66</v>
      </c>
      <c r="B3" t="s">
        <v>13</v>
      </c>
      <c r="C3" t="s">
        <v>1256</v>
      </c>
      <c r="D3" t="s">
        <v>1254</v>
      </c>
      <c r="F3" t="s">
        <v>676</v>
      </c>
      <c r="H3" s="34">
        <v>4</v>
      </c>
      <c r="I3" t="s">
        <v>179</v>
      </c>
      <c r="J3">
        <f t="shared" ref="J3:J66" si="0">IF(I3="","",_xlfn.XLOOKUP(I3,standard_designation_bar_list,bar_nominal_diameter_mm_list,""))</f>
        <v>0</v>
      </c>
      <c r="K3">
        <f>IF(I3="","",_xlfn.XLOOKUP(I3,standard_designation_bar_list,bar_nominal_area_mm2_list,""))</f>
        <v>0</v>
      </c>
      <c r="L3">
        <v>100</v>
      </c>
      <c r="M3">
        <v>10</v>
      </c>
    </row>
    <row r="4" spans="1:39" x14ac:dyDescent="0.25">
      <c r="A4" t="s">
        <v>1255</v>
      </c>
      <c r="B4" t="s">
        <v>13</v>
      </c>
      <c r="C4" t="s">
        <v>1256</v>
      </c>
      <c r="D4" t="s">
        <v>1254</v>
      </c>
      <c r="J4" t="str">
        <f t="shared" si="0"/>
        <v/>
      </c>
    </row>
    <row r="5" spans="1:39" x14ac:dyDescent="0.25">
      <c r="J5" t="str">
        <f t="shared" si="0"/>
        <v/>
      </c>
    </row>
    <row r="6" spans="1:39" x14ac:dyDescent="0.25">
      <c r="J6" t="str">
        <f t="shared" si="0"/>
        <v/>
      </c>
    </row>
    <row r="7" spans="1:39" x14ac:dyDescent="0.25">
      <c r="J7" t="str">
        <f t="shared" si="0"/>
        <v/>
      </c>
    </row>
    <row r="8" spans="1:39" x14ac:dyDescent="0.25">
      <c r="J8" t="str">
        <f t="shared" si="0"/>
        <v/>
      </c>
    </row>
    <row r="9" spans="1:39" x14ac:dyDescent="0.25">
      <c r="J9" t="str">
        <f t="shared" si="0"/>
        <v/>
      </c>
    </row>
    <row r="10" spans="1:39" x14ac:dyDescent="0.25">
      <c r="J10" t="str">
        <f t="shared" si="0"/>
        <v/>
      </c>
    </row>
    <row r="11" spans="1:39" x14ac:dyDescent="0.25">
      <c r="J11" t="str">
        <f t="shared" si="0"/>
        <v/>
      </c>
    </row>
    <row r="12" spans="1:39" x14ac:dyDescent="0.25">
      <c r="J12" t="str">
        <f t="shared" si="0"/>
        <v/>
      </c>
    </row>
    <row r="13" spans="1:39" x14ac:dyDescent="0.25">
      <c r="J13" t="str">
        <f t="shared" si="0"/>
        <v/>
      </c>
    </row>
    <row r="14" spans="1:39" x14ac:dyDescent="0.25">
      <c r="J14" t="str">
        <f t="shared" si="0"/>
        <v/>
      </c>
    </row>
    <row r="15" spans="1:39" x14ac:dyDescent="0.25">
      <c r="J15" t="str">
        <f t="shared" si="0"/>
        <v/>
      </c>
    </row>
    <row r="16" spans="1:39" x14ac:dyDescent="0.25">
      <c r="J16" t="str">
        <f t="shared" si="0"/>
        <v/>
      </c>
    </row>
    <row r="17" spans="10:10" x14ac:dyDescent="0.25">
      <c r="J17" t="str">
        <f t="shared" si="0"/>
        <v/>
      </c>
    </row>
    <row r="18" spans="10:10" x14ac:dyDescent="0.25">
      <c r="J18" t="str">
        <f t="shared" si="0"/>
        <v/>
      </c>
    </row>
    <row r="19" spans="10:10" x14ac:dyDescent="0.25">
      <c r="J19" t="str">
        <f t="shared" si="0"/>
        <v/>
      </c>
    </row>
    <row r="20" spans="10:10" x14ac:dyDescent="0.25">
      <c r="J20" t="str">
        <f t="shared" si="0"/>
        <v/>
      </c>
    </row>
    <row r="21" spans="10:10" x14ac:dyDescent="0.25">
      <c r="J21" t="str">
        <f t="shared" si="0"/>
        <v/>
      </c>
    </row>
    <row r="22" spans="10:10" x14ac:dyDescent="0.25">
      <c r="J22" t="str">
        <f t="shared" si="0"/>
        <v/>
      </c>
    </row>
    <row r="23" spans="10:10" x14ac:dyDescent="0.25">
      <c r="J23" t="str">
        <f t="shared" si="0"/>
        <v/>
      </c>
    </row>
    <row r="24" spans="10:10" x14ac:dyDescent="0.25">
      <c r="J24" t="str">
        <f t="shared" si="0"/>
        <v/>
      </c>
    </row>
    <row r="25" spans="10:10" x14ac:dyDescent="0.25">
      <c r="J25" t="str">
        <f t="shared" si="0"/>
        <v/>
      </c>
    </row>
    <row r="26" spans="10:10" x14ac:dyDescent="0.25">
      <c r="J26" t="str">
        <f t="shared" si="0"/>
        <v/>
      </c>
    </row>
    <row r="27" spans="10:10" x14ac:dyDescent="0.25">
      <c r="J27" t="str">
        <f t="shared" si="0"/>
        <v/>
      </c>
    </row>
    <row r="28" spans="10:10" x14ac:dyDescent="0.25">
      <c r="J28" t="str">
        <f t="shared" si="0"/>
        <v/>
      </c>
    </row>
    <row r="29" spans="10:10" x14ac:dyDescent="0.25">
      <c r="J29" t="str">
        <f t="shared" si="0"/>
        <v/>
      </c>
    </row>
    <row r="30" spans="10:10" x14ac:dyDescent="0.25">
      <c r="J30" t="str">
        <f t="shared" si="0"/>
        <v/>
      </c>
    </row>
    <row r="31" spans="10:10" x14ac:dyDescent="0.25">
      <c r="J31" t="str">
        <f t="shared" si="0"/>
        <v/>
      </c>
    </row>
    <row r="32" spans="10:10" x14ac:dyDescent="0.25">
      <c r="J32" t="str">
        <f t="shared" si="0"/>
        <v/>
      </c>
    </row>
    <row r="33" spans="10:10" x14ac:dyDescent="0.25">
      <c r="J33" t="str">
        <f t="shared" si="0"/>
        <v/>
      </c>
    </row>
    <row r="34" spans="10:10" x14ac:dyDescent="0.25">
      <c r="J34" t="str">
        <f t="shared" si="0"/>
        <v/>
      </c>
    </row>
    <row r="35" spans="10:10" x14ac:dyDescent="0.25">
      <c r="J35" t="str">
        <f t="shared" si="0"/>
        <v/>
      </c>
    </row>
    <row r="36" spans="10:10" x14ac:dyDescent="0.25">
      <c r="J36" t="str">
        <f t="shared" si="0"/>
        <v/>
      </c>
    </row>
    <row r="37" spans="10:10" x14ac:dyDescent="0.25">
      <c r="J37" t="str">
        <f t="shared" si="0"/>
        <v/>
      </c>
    </row>
    <row r="38" spans="10:10" x14ac:dyDescent="0.25">
      <c r="J38" t="str">
        <f t="shared" si="0"/>
        <v/>
      </c>
    </row>
    <row r="39" spans="10:10" x14ac:dyDescent="0.25">
      <c r="J39" t="str">
        <f t="shared" si="0"/>
        <v/>
      </c>
    </row>
    <row r="40" spans="10:10" x14ac:dyDescent="0.25">
      <c r="J40" t="str">
        <f t="shared" si="0"/>
        <v/>
      </c>
    </row>
    <row r="41" spans="10:10" x14ac:dyDescent="0.25">
      <c r="J41" t="str">
        <f t="shared" si="0"/>
        <v/>
      </c>
    </row>
    <row r="42" spans="10:10" x14ac:dyDescent="0.25">
      <c r="J42" t="str">
        <f t="shared" si="0"/>
        <v/>
      </c>
    </row>
    <row r="43" spans="10:10" x14ac:dyDescent="0.25">
      <c r="J43" t="str">
        <f t="shared" si="0"/>
        <v/>
      </c>
    </row>
    <row r="44" spans="10:10" x14ac:dyDescent="0.25">
      <c r="J44" t="str">
        <f t="shared" si="0"/>
        <v/>
      </c>
    </row>
    <row r="45" spans="10:10" x14ac:dyDescent="0.25">
      <c r="J45" t="str">
        <f t="shared" si="0"/>
        <v/>
      </c>
    </row>
    <row r="46" spans="10:10" x14ac:dyDescent="0.25">
      <c r="J46" t="str">
        <f t="shared" si="0"/>
        <v/>
      </c>
    </row>
    <row r="47" spans="10:10" x14ac:dyDescent="0.25">
      <c r="J47" t="str">
        <f t="shared" si="0"/>
        <v/>
      </c>
    </row>
    <row r="48" spans="10:10" x14ac:dyDescent="0.25">
      <c r="J48" t="str">
        <f t="shared" si="0"/>
        <v/>
      </c>
    </row>
    <row r="49" spans="10:10" x14ac:dyDescent="0.25">
      <c r="J49" t="str">
        <f t="shared" si="0"/>
        <v/>
      </c>
    </row>
    <row r="50" spans="10:10" x14ac:dyDescent="0.25">
      <c r="J50" t="str">
        <f t="shared" si="0"/>
        <v/>
      </c>
    </row>
    <row r="51" spans="10:10" x14ac:dyDescent="0.25">
      <c r="J51" t="str">
        <f t="shared" si="0"/>
        <v/>
      </c>
    </row>
    <row r="52" spans="10:10" x14ac:dyDescent="0.25">
      <c r="J52" t="str">
        <f t="shared" si="0"/>
        <v/>
      </c>
    </row>
    <row r="53" spans="10:10" x14ac:dyDescent="0.25">
      <c r="J53" t="str">
        <f t="shared" si="0"/>
        <v/>
      </c>
    </row>
    <row r="54" spans="10:10" x14ac:dyDescent="0.25">
      <c r="J54" t="str">
        <f t="shared" si="0"/>
        <v/>
      </c>
    </row>
    <row r="55" spans="10:10" x14ac:dyDescent="0.25">
      <c r="J55" t="str">
        <f t="shared" si="0"/>
        <v/>
      </c>
    </row>
    <row r="56" spans="10:10" x14ac:dyDescent="0.25">
      <c r="J56" t="str">
        <f t="shared" si="0"/>
        <v/>
      </c>
    </row>
    <row r="57" spans="10:10" x14ac:dyDescent="0.25">
      <c r="J57" t="str">
        <f t="shared" si="0"/>
        <v/>
      </c>
    </row>
    <row r="58" spans="10:10" x14ac:dyDescent="0.25">
      <c r="J58" t="str">
        <f t="shared" si="0"/>
        <v/>
      </c>
    </row>
    <row r="59" spans="10:10" x14ac:dyDescent="0.25">
      <c r="J59" t="str">
        <f t="shared" si="0"/>
        <v/>
      </c>
    </row>
    <row r="60" spans="10:10" x14ac:dyDescent="0.25">
      <c r="J60" t="str">
        <f t="shared" si="0"/>
        <v/>
      </c>
    </row>
    <row r="61" spans="10:10" x14ac:dyDescent="0.25">
      <c r="J61" t="str">
        <f t="shared" si="0"/>
        <v/>
      </c>
    </row>
    <row r="62" spans="10:10" x14ac:dyDescent="0.25">
      <c r="J62" t="str">
        <f t="shared" si="0"/>
        <v/>
      </c>
    </row>
    <row r="63" spans="10:10" x14ac:dyDescent="0.25">
      <c r="J63" t="str">
        <f t="shared" si="0"/>
        <v/>
      </c>
    </row>
    <row r="64" spans="10:10" x14ac:dyDescent="0.25">
      <c r="J64" t="str">
        <f t="shared" si="0"/>
        <v/>
      </c>
    </row>
    <row r="65" spans="10:10" x14ac:dyDescent="0.25">
      <c r="J65" t="str">
        <f t="shared" si="0"/>
        <v/>
      </c>
    </row>
    <row r="66" spans="10:10" x14ac:dyDescent="0.25">
      <c r="J66" t="str">
        <f t="shared" si="0"/>
        <v/>
      </c>
    </row>
    <row r="67" spans="10:10" x14ac:dyDescent="0.25">
      <c r="J67" t="str">
        <f t="shared" ref="J67:J130" si="1">IF(I67="","",_xlfn.XLOOKUP(I67,standard_designation_bar_list,bar_nominal_diameter_mm_list,""))</f>
        <v/>
      </c>
    </row>
    <row r="68" spans="10:10" x14ac:dyDescent="0.25">
      <c r="J68" t="str">
        <f t="shared" si="1"/>
        <v/>
      </c>
    </row>
    <row r="69" spans="10:10" x14ac:dyDescent="0.25">
      <c r="J69" t="str">
        <f t="shared" si="1"/>
        <v/>
      </c>
    </row>
    <row r="70" spans="10:10" x14ac:dyDescent="0.25">
      <c r="J70" t="str">
        <f t="shared" si="1"/>
        <v/>
      </c>
    </row>
    <row r="71" spans="10:10" x14ac:dyDescent="0.25">
      <c r="J71" t="str">
        <f t="shared" si="1"/>
        <v/>
      </c>
    </row>
    <row r="72" spans="10:10" x14ac:dyDescent="0.25">
      <c r="J72" t="str">
        <f t="shared" si="1"/>
        <v/>
      </c>
    </row>
    <row r="73" spans="10:10" x14ac:dyDescent="0.25">
      <c r="J73" t="str">
        <f t="shared" si="1"/>
        <v/>
      </c>
    </row>
    <row r="74" spans="10:10" x14ac:dyDescent="0.25">
      <c r="J74" t="str">
        <f t="shared" si="1"/>
        <v/>
      </c>
    </row>
    <row r="75" spans="10:10" x14ac:dyDescent="0.25">
      <c r="J75" t="str">
        <f t="shared" si="1"/>
        <v/>
      </c>
    </row>
    <row r="76" spans="10:10" x14ac:dyDescent="0.25">
      <c r="J76" t="str">
        <f t="shared" si="1"/>
        <v/>
      </c>
    </row>
    <row r="77" spans="10:10" x14ac:dyDescent="0.25">
      <c r="J77" t="str">
        <f t="shared" si="1"/>
        <v/>
      </c>
    </row>
    <row r="78" spans="10:10" x14ac:dyDescent="0.25">
      <c r="J78" t="str">
        <f t="shared" si="1"/>
        <v/>
      </c>
    </row>
    <row r="79" spans="10:10" x14ac:dyDescent="0.25">
      <c r="J79" t="str">
        <f t="shared" si="1"/>
        <v/>
      </c>
    </row>
    <row r="80" spans="10:10" x14ac:dyDescent="0.25">
      <c r="J80" t="str">
        <f t="shared" si="1"/>
        <v/>
      </c>
    </row>
    <row r="81" spans="10:10" x14ac:dyDescent="0.25">
      <c r="J81" t="str">
        <f t="shared" si="1"/>
        <v/>
      </c>
    </row>
    <row r="82" spans="10:10" x14ac:dyDescent="0.25">
      <c r="J82" t="str">
        <f t="shared" si="1"/>
        <v/>
      </c>
    </row>
    <row r="83" spans="10:10" x14ac:dyDescent="0.25">
      <c r="J83" t="str">
        <f t="shared" si="1"/>
        <v/>
      </c>
    </row>
    <row r="84" spans="10:10" x14ac:dyDescent="0.25">
      <c r="J84" t="str">
        <f t="shared" si="1"/>
        <v/>
      </c>
    </row>
    <row r="85" spans="10:10" x14ac:dyDescent="0.25">
      <c r="J85" t="str">
        <f t="shared" si="1"/>
        <v/>
      </c>
    </row>
    <row r="86" spans="10:10" x14ac:dyDescent="0.25">
      <c r="J86" t="str">
        <f t="shared" si="1"/>
        <v/>
      </c>
    </row>
    <row r="87" spans="10:10" x14ac:dyDescent="0.25">
      <c r="J87" t="str">
        <f t="shared" si="1"/>
        <v/>
      </c>
    </row>
    <row r="88" spans="10:10" x14ac:dyDescent="0.25">
      <c r="J88" t="str">
        <f t="shared" si="1"/>
        <v/>
      </c>
    </row>
    <row r="89" spans="10:10" x14ac:dyDescent="0.25">
      <c r="J89" t="str">
        <f t="shared" si="1"/>
        <v/>
      </c>
    </row>
    <row r="90" spans="10:10" x14ac:dyDescent="0.25">
      <c r="J90" t="str">
        <f t="shared" si="1"/>
        <v/>
      </c>
    </row>
    <row r="91" spans="10:10" x14ac:dyDescent="0.25">
      <c r="J91" t="str">
        <f t="shared" si="1"/>
        <v/>
      </c>
    </row>
    <row r="92" spans="10:10" x14ac:dyDescent="0.25">
      <c r="J92" t="str">
        <f t="shared" si="1"/>
        <v/>
      </c>
    </row>
    <row r="93" spans="10:10" x14ac:dyDescent="0.25">
      <c r="J93" t="str">
        <f t="shared" si="1"/>
        <v/>
      </c>
    </row>
    <row r="94" spans="10:10" x14ac:dyDescent="0.25">
      <c r="J94" t="str">
        <f t="shared" si="1"/>
        <v/>
      </c>
    </row>
    <row r="95" spans="10:10" x14ac:dyDescent="0.25">
      <c r="J95" t="str">
        <f t="shared" si="1"/>
        <v/>
      </c>
    </row>
    <row r="96" spans="10:10" x14ac:dyDescent="0.25">
      <c r="J96" t="str">
        <f t="shared" si="1"/>
        <v/>
      </c>
    </row>
    <row r="97" spans="10:10" x14ac:dyDescent="0.25">
      <c r="J97" t="str">
        <f t="shared" si="1"/>
        <v/>
      </c>
    </row>
    <row r="98" spans="10:10" x14ac:dyDescent="0.25">
      <c r="J98" t="str">
        <f t="shared" si="1"/>
        <v/>
      </c>
    </row>
    <row r="99" spans="10:10" x14ac:dyDescent="0.25">
      <c r="J99" t="str">
        <f t="shared" si="1"/>
        <v/>
      </c>
    </row>
    <row r="100" spans="10:10" x14ac:dyDescent="0.25">
      <c r="J100" t="str">
        <f t="shared" si="1"/>
        <v/>
      </c>
    </row>
    <row r="101" spans="10:10" x14ac:dyDescent="0.25">
      <c r="J101" t="str">
        <f t="shared" si="1"/>
        <v/>
      </c>
    </row>
    <row r="102" spans="10:10" x14ac:dyDescent="0.25">
      <c r="J102" t="str">
        <f t="shared" si="1"/>
        <v/>
      </c>
    </row>
    <row r="103" spans="10:10" x14ac:dyDescent="0.25">
      <c r="J103" t="str">
        <f t="shared" si="1"/>
        <v/>
      </c>
    </row>
    <row r="104" spans="10:10" x14ac:dyDescent="0.25">
      <c r="J104" t="str">
        <f t="shared" si="1"/>
        <v/>
      </c>
    </row>
    <row r="105" spans="10:10" x14ac:dyDescent="0.25">
      <c r="J105" t="str">
        <f t="shared" si="1"/>
        <v/>
      </c>
    </row>
    <row r="106" spans="10:10" x14ac:dyDescent="0.25">
      <c r="J106" t="str">
        <f t="shared" si="1"/>
        <v/>
      </c>
    </row>
    <row r="107" spans="10:10" x14ac:dyDescent="0.25">
      <c r="J107" t="str">
        <f t="shared" si="1"/>
        <v/>
      </c>
    </row>
    <row r="108" spans="10:10" x14ac:dyDescent="0.25">
      <c r="J108" t="str">
        <f t="shared" si="1"/>
        <v/>
      </c>
    </row>
    <row r="109" spans="10:10" x14ac:dyDescent="0.25">
      <c r="J109" t="str">
        <f t="shared" si="1"/>
        <v/>
      </c>
    </row>
    <row r="110" spans="10:10" x14ac:dyDescent="0.25">
      <c r="J110" t="str">
        <f t="shared" si="1"/>
        <v/>
      </c>
    </row>
    <row r="111" spans="10:10" x14ac:dyDescent="0.25">
      <c r="J111" t="str">
        <f t="shared" si="1"/>
        <v/>
      </c>
    </row>
    <row r="112" spans="10:10" x14ac:dyDescent="0.25">
      <c r="J112" t="str">
        <f t="shared" si="1"/>
        <v/>
      </c>
    </row>
    <row r="113" spans="10:10" x14ac:dyDescent="0.25">
      <c r="J113" t="str">
        <f t="shared" si="1"/>
        <v/>
      </c>
    </row>
    <row r="114" spans="10:10" x14ac:dyDescent="0.25">
      <c r="J114" t="str">
        <f t="shared" si="1"/>
        <v/>
      </c>
    </row>
    <row r="115" spans="10:10" x14ac:dyDescent="0.25">
      <c r="J115" t="str">
        <f t="shared" si="1"/>
        <v/>
      </c>
    </row>
    <row r="116" spans="10:10" x14ac:dyDescent="0.25">
      <c r="J116" t="str">
        <f t="shared" si="1"/>
        <v/>
      </c>
    </row>
    <row r="117" spans="10:10" x14ac:dyDescent="0.25">
      <c r="J117" t="str">
        <f t="shared" si="1"/>
        <v/>
      </c>
    </row>
    <row r="118" spans="10:10" x14ac:dyDescent="0.25">
      <c r="J118" t="str">
        <f t="shared" si="1"/>
        <v/>
      </c>
    </row>
    <row r="119" spans="10:10" x14ac:dyDescent="0.25">
      <c r="J119" t="str">
        <f t="shared" si="1"/>
        <v/>
      </c>
    </row>
    <row r="120" spans="10:10" x14ac:dyDescent="0.25">
      <c r="J120" t="str">
        <f t="shared" si="1"/>
        <v/>
      </c>
    </row>
    <row r="121" spans="10:10" x14ac:dyDescent="0.25">
      <c r="J121" t="str">
        <f t="shared" si="1"/>
        <v/>
      </c>
    </row>
    <row r="122" spans="10:10" x14ac:dyDescent="0.25">
      <c r="J122" t="str">
        <f t="shared" si="1"/>
        <v/>
      </c>
    </row>
    <row r="123" spans="10:10" x14ac:dyDescent="0.25">
      <c r="J123" t="str">
        <f t="shared" si="1"/>
        <v/>
      </c>
    </row>
    <row r="124" spans="10:10" x14ac:dyDescent="0.25">
      <c r="J124" t="str">
        <f t="shared" si="1"/>
        <v/>
      </c>
    </row>
    <row r="125" spans="10:10" x14ac:dyDescent="0.25">
      <c r="J125" t="str">
        <f t="shared" si="1"/>
        <v/>
      </c>
    </row>
    <row r="126" spans="10:10" x14ac:dyDescent="0.25">
      <c r="J126" t="str">
        <f t="shared" si="1"/>
        <v/>
      </c>
    </row>
    <row r="127" spans="10:10" x14ac:dyDescent="0.25">
      <c r="J127" t="str">
        <f t="shared" si="1"/>
        <v/>
      </c>
    </row>
    <row r="128" spans="10:10" x14ac:dyDescent="0.25">
      <c r="J128" t="str">
        <f t="shared" si="1"/>
        <v/>
      </c>
    </row>
    <row r="129" spans="10:10" x14ac:dyDescent="0.25">
      <c r="J129" t="str">
        <f t="shared" si="1"/>
        <v/>
      </c>
    </row>
    <row r="130" spans="10:10" x14ac:dyDescent="0.25">
      <c r="J130" t="str">
        <f t="shared" si="1"/>
        <v/>
      </c>
    </row>
    <row r="131" spans="10:10" x14ac:dyDescent="0.25">
      <c r="J131" t="str">
        <f t="shared" ref="J131:J194" si="2">IF(I131="","",_xlfn.XLOOKUP(I131,standard_designation_bar_list,bar_nominal_diameter_mm_list,""))</f>
        <v/>
      </c>
    </row>
    <row r="132" spans="10:10" x14ac:dyDescent="0.25">
      <c r="J132" t="str">
        <f t="shared" si="2"/>
        <v/>
      </c>
    </row>
    <row r="133" spans="10:10" x14ac:dyDescent="0.25">
      <c r="J133" t="str">
        <f t="shared" si="2"/>
        <v/>
      </c>
    </row>
    <row r="134" spans="10:10" x14ac:dyDescent="0.25">
      <c r="J134" t="str">
        <f t="shared" si="2"/>
        <v/>
      </c>
    </row>
    <row r="135" spans="10:10" x14ac:dyDescent="0.25">
      <c r="J135" t="str">
        <f t="shared" si="2"/>
        <v/>
      </c>
    </row>
    <row r="136" spans="10:10" x14ac:dyDescent="0.25">
      <c r="J136" t="str">
        <f t="shared" si="2"/>
        <v/>
      </c>
    </row>
    <row r="137" spans="10:10" x14ac:dyDescent="0.25">
      <c r="J137" t="str">
        <f t="shared" si="2"/>
        <v/>
      </c>
    </row>
    <row r="138" spans="10:10" x14ac:dyDescent="0.25">
      <c r="J138" t="str">
        <f t="shared" si="2"/>
        <v/>
      </c>
    </row>
    <row r="139" spans="10:10" x14ac:dyDescent="0.25">
      <c r="J139" t="str">
        <f t="shared" si="2"/>
        <v/>
      </c>
    </row>
    <row r="140" spans="10:10" x14ac:dyDescent="0.25">
      <c r="J140" t="str">
        <f t="shared" si="2"/>
        <v/>
      </c>
    </row>
    <row r="141" spans="10:10" x14ac:dyDescent="0.25">
      <c r="J141" t="str">
        <f t="shared" si="2"/>
        <v/>
      </c>
    </row>
    <row r="142" spans="10:10" x14ac:dyDescent="0.25">
      <c r="J142" t="str">
        <f t="shared" si="2"/>
        <v/>
      </c>
    </row>
    <row r="143" spans="10:10" x14ac:dyDescent="0.25">
      <c r="J143" t="str">
        <f t="shared" si="2"/>
        <v/>
      </c>
    </row>
    <row r="144" spans="10:10" x14ac:dyDescent="0.25">
      <c r="J144" t="str">
        <f t="shared" si="2"/>
        <v/>
      </c>
    </row>
    <row r="145" spans="10:10" x14ac:dyDescent="0.25">
      <c r="J145" t="str">
        <f t="shared" si="2"/>
        <v/>
      </c>
    </row>
    <row r="146" spans="10:10" x14ac:dyDescent="0.25">
      <c r="J146" t="str">
        <f t="shared" si="2"/>
        <v/>
      </c>
    </row>
    <row r="147" spans="10:10" x14ac:dyDescent="0.25">
      <c r="J147" t="str">
        <f t="shared" si="2"/>
        <v/>
      </c>
    </row>
    <row r="148" spans="10:10" x14ac:dyDescent="0.25">
      <c r="J148" t="str">
        <f t="shared" si="2"/>
        <v/>
      </c>
    </row>
    <row r="149" spans="10:10" x14ac:dyDescent="0.25">
      <c r="J149" t="str">
        <f t="shared" si="2"/>
        <v/>
      </c>
    </row>
    <row r="150" spans="10:10" x14ac:dyDescent="0.25">
      <c r="J150" t="str">
        <f t="shared" si="2"/>
        <v/>
      </c>
    </row>
    <row r="151" spans="10:10" x14ac:dyDescent="0.25">
      <c r="J151" t="str">
        <f t="shared" si="2"/>
        <v/>
      </c>
    </row>
    <row r="152" spans="10:10" x14ac:dyDescent="0.25">
      <c r="J152" t="str">
        <f t="shared" si="2"/>
        <v/>
      </c>
    </row>
    <row r="153" spans="10:10" x14ac:dyDescent="0.25">
      <c r="J153" t="str">
        <f t="shared" si="2"/>
        <v/>
      </c>
    </row>
    <row r="154" spans="10:10" x14ac:dyDescent="0.25">
      <c r="J154" t="str">
        <f t="shared" si="2"/>
        <v/>
      </c>
    </row>
    <row r="155" spans="10:10" x14ac:dyDescent="0.25">
      <c r="J155" t="str">
        <f t="shared" si="2"/>
        <v/>
      </c>
    </row>
    <row r="156" spans="10:10" x14ac:dyDescent="0.25">
      <c r="J156" t="str">
        <f t="shared" si="2"/>
        <v/>
      </c>
    </row>
    <row r="157" spans="10:10" x14ac:dyDescent="0.25">
      <c r="J157" t="str">
        <f t="shared" si="2"/>
        <v/>
      </c>
    </row>
    <row r="158" spans="10:10" x14ac:dyDescent="0.25">
      <c r="J158" t="str">
        <f t="shared" si="2"/>
        <v/>
      </c>
    </row>
    <row r="159" spans="10:10" x14ac:dyDescent="0.25">
      <c r="J159" t="str">
        <f t="shared" si="2"/>
        <v/>
      </c>
    </row>
    <row r="160" spans="10:10" x14ac:dyDescent="0.25">
      <c r="J160" t="str">
        <f t="shared" si="2"/>
        <v/>
      </c>
    </row>
    <row r="161" spans="10:10" x14ac:dyDescent="0.25">
      <c r="J161" t="str">
        <f t="shared" si="2"/>
        <v/>
      </c>
    </row>
    <row r="162" spans="10:10" x14ac:dyDescent="0.25">
      <c r="J162" t="str">
        <f t="shared" si="2"/>
        <v/>
      </c>
    </row>
    <row r="163" spans="10:10" x14ac:dyDescent="0.25">
      <c r="J163" t="str">
        <f t="shared" si="2"/>
        <v/>
      </c>
    </row>
    <row r="164" spans="10:10" x14ac:dyDescent="0.25">
      <c r="J164" t="str">
        <f t="shared" si="2"/>
        <v/>
      </c>
    </row>
    <row r="165" spans="10:10" x14ac:dyDescent="0.25">
      <c r="J165" t="str">
        <f t="shared" si="2"/>
        <v/>
      </c>
    </row>
    <row r="166" spans="10:10" x14ac:dyDescent="0.25">
      <c r="J166" t="str">
        <f t="shared" si="2"/>
        <v/>
      </c>
    </row>
    <row r="167" spans="10:10" x14ac:dyDescent="0.25">
      <c r="J167" t="str">
        <f t="shared" si="2"/>
        <v/>
      </c>
    </row>
    <row r="168" spans="10:10" x14ac:dyDescent="0.25">
      <c r="J168" t="str">
        <f t="shared" si="2"/>
        <v/>
      </c>
    </row>
    <row r="169" spans="10:10" x14ac:dyDescent="0.25">
      <c r="J169" t="str">
        <f t="shared" si="2"/>
        <v/>
      </c>
    </row>
    <row r="170" spans="10:10" x14ac:dyDescent="0.25">
      <c r="J170" t="str">
        <f t="shared" si="2"/>
        <v/>
      </c>
    </row>
    <row r="171" spans="10:10" x14ac:dyDescent="0.25">
      <c r="J171" t="str">
        <f t="shared" si="2"/>
        <v/>
      </c>
    </row>
    <row r="172" spans="10:10" x14ac:dyDescent="0.25">
      <c r="J172" t="str">
        <f t="shared" si="2"/>
        <v/>
      </c>
    </row>
    <row r="173" spans="10:10" x14ac:dyDescent="0.25">
      <c r="J173" t="str">
        <f t="shared" si="2"/>
        <v/>
      </c>
    </row>
    <row r="174" spans="10:10" x14ac:dyDescent="0.25">
      <c r="J174" t="str">
        <f t="shared" si="2"/>
        <v/>
      </c>
    </row>
    <row r="175" spans="10:10" x14ac:dyDescent="0.25">
      <c r="J175" t="str">
        <f t="shared" si="2"/>
        <v/>
      </c>
    </row>
    <row r="176" spans="10:10" x14ac:dyDescent="0.25">
      <c r="J176" t="str">
        <f t="shared" si="2"/>
        <v/>
      </c>
    </row>
    <row r="177" spans="10:10" x14ac:dyDescent="0.25">
      <c r="J177" t="str">
        <f t="shared" si="2"/>
        <v/>
      </c>
    </row>
    <row r="178" spans="10:10" x14ac:dyDescent="0.25">
      <c r="J178" t="str">
        <f t="shared" si="2"/>
        <v/>
      </c>
    </row>
    <row r="179" spans="10:10" x14ac:dyDescent="0.25">
      <c r="J179" t="str">
        <f t="shared" si="2"/>
        <v/>
      </c>
    </row>
    <row r="180" spans="10:10" x14ac:dyDescent="0.25">
      <c r="J180" t="str">
        <f t="shared" si="2"/>
        <v/>
      </c>
    </row>
    <row r="181" spans="10:10" x14ac:dyDescent="0.25">
      <c r="J181" t="str">
        <f t="shared" si="2"/>
        <v/>
      </c>
    </row>
    <row r="182" spans="10:10" x14ac:dyDescent="0.25">
      <c r="J182" t="str">
        <f t="shared" si="2"/>
        <v/>
      </c>
    </row>
    <row r="183" spans="10:10" x14ac:dyDescent="0.25">
      <c r="J183" t="str">
        <f t="shared" si="2"/>
        <v/>
      </c>
    </row>
    <row r="184" spans="10:10" x14ac:dyDescent="0.25">
      <c r="J184" t="str">
        <f t="shared" si="2"/>
        <v/>
      </c>
    </row>
    <row r="185" spans="10:10" x14ac:dyDescent="0.25">
      <c r="J185" t="str">
        <f t="shared" si="2"/>
        <v/>
      </c>
    </row>
    <row r="186" spans="10:10" x14ac:dyDescent="0.25">
      <c r="J186" t="str">
        <f t="shared" si="2"/>
        <v/>
      </c>
    </row>
    <row r="187" spans="10:10" x14ac:dyDescent="0.25">
      <c r="J187" t="str">
        <f t="shared" si="2"/>
        <v/>
      </c>
    </row>
    <row r="188" spans="10:10" x14ac:dyDescent="0.25">
      <c r="J188" t="str">
        <f t="shared" si="2"/>
        <v/>
      </c>
    </row>
    <row r="189" spans="10:10" x14ac:dyDescent="0.25">
      <c r="J189" t="str">
        <f t="shared" si="2"/>
        <v/>
      </c>
    </row>
    <row r="190" spans="10:10" x14ac:dyDescent="0.25">
      <c r="J190" t="str">
        <f t="shared" si="2"/>
        <v/>
      </c>
    </row>
    <row r="191" spans="10:10" x14ac:dyDescent="0.25">
      <c r="J191" t="str">
        <f t="shared" si="2"/>
        <v/>
      </c>
    </row>
    <row r="192" spans="10:10" x14ac:dyDescent="0.25">
      <c r="J192" t="str">
        <f t="shared" si="2"/>
        <v/>
      </c>
    </row>
    <row r="193" spans="10:10" x14ac:dyDescent="0.25">
      <c r="J193" t="str">
        <f t="shared" si="2"/>
        <v/>
      </c>
    </row>
    <row r="194" spans="10:10" x14ac:dyDescent="0.25">
      <c r="J194" t="str">
        <f t="shared" si="2"/>
        <v/>
      </c>
    </row>
    <row r="195" spans="10:10" x14ac:dyDescent="0.25">
      <c r="J195" t="str">
        <f t="shared" ref="J195:J242" si="3">IF(I195="","",_xlfn.XLOOKUP(I195,standard_designation_bar_list,bar_nominal_diameter_mm_list,""))</f>
        <v/>
      </c>
    </row>
    <row r="196" spans="10:10" x14ac:dyDescent="0.25">
      <c r="J196" t="str">
        <f t="shared" si="3"/>
        <v/>
      </c>
    </row>
    <row r="197" spans="10:10" x14ac:dyDescent="0.25">
      <c r="J197" t="str">
        <f t="shared" si="3"/>
        <v/>
      </c>
    </row>
    <row r="198" spans="10:10" x14ac:dyDescent="0.25">
      <c r="J198" t="str">
        <f t="shared" si="3"/>
        <v/>
      </c>
    </row>
    <row r="199" spans="10:10" x14ac:dyDescent="0.25">
      <c r="J199" t="str">
        <f t="shared" si="3"/>
        <v/>
      </c>
    </row>
    <row r="200" spans="10:10" x14ac:dyDescent="0.25">
      <c r="J200" t="str">
        <f t="shared" si="3"/>
        <v/>
      </c>
    </row>
    <row r="201" spans="10:10" x14ac:dyDescent="0.25">
      <c r="J201" t="str">
        <f t="shared" si="3"/>
        <v/>
      </c>
    </row>
    <row r="202" spans="10:10" x14ac:dyDescent="0.25">
      <c r="J202" t="str">
        <f t="shared" si="3"/>
        <v/>
      </c>
    </row>
    <row r="203" spans="10:10" x14ac:dyDescent="0.25">
      <c r="J203" t="str">
        <f t="shared" si="3"/>
        <v/>
      </c>
    </row>
    <row r="204" spans="10:10" x14ac:dyDescent="0.25">
      <c r="J204" t="str">
        <f t="shared" si="3"/>
        <v/>
      </c>
    </row>
    <row r="205" spans="10:10" x14ac:dyDescent="0.25">
      <c r="J205" t="str">
        <f t="shared" si="3"/>
        <v/>
      </c>
    </row>
    <row r="206" spans="10:10" x14ac:dyDescent="0.25">
      <c r="J206" t="str">
        <f t="shared" si="3"/>
        <v/>
      </c>
    </row>
    <row r="207" spans="10:10" x14ac:dyDescent="0.25">
      <c r="J207" t="str">
        <f t="shared" si="3"/>
        <v/>
      </c>
    </row>
    <row r="208" spans="10:10" x14ac:dyDescent="0.25">
      <c r="J208" t="str">
        <f t="shared" si="3"/>
        <v/>
      </c>
    </row>
    <row r="209" spans="10:10" x14ac:dyDescent="0.25">
      <c r="J209" t="str">
        <f t="shared" si="3"/>
        <v/>
      </c>
    </row>
    <row r="210" spans="10:10" x14ac:dyDescent="0.25">
      <c r="J210" t="str">
        <f t="shared" si="3"/>
        <v/>
      </c>
    </row>
    <row r="211" spans="10:10" x14ac:dyDescent="0.25">
      <c r="J211" t="str">
        <f t="shared" si="3"/>
        <v/>
      </c>
    </row>
    <row r="212" spans="10:10" x14ac:dyDescent="0.25">
      <c r="J212" t="str">
        <f t="shared" si="3"/>
        <v/>
      </c>
    </row>
    <row r="213" spans="10:10" x14ac:dyDescent="0.25">
      <c r="J213" t="str">
        <f t="shared" si="3"/>
        <v/>
      </c>
    </row>
    <row r="214" spans="10:10" x14ac:dyDescent="0.25">
      <c r="J214" t="str">
        <f t="shared" si="3"/>
        <v/>
      </c>
    </row>
    <row r="215" spans="10:10" x14ac:dyDescent="0.25">
      <c r="J215" t="str">
        <f t="shared" si="3"/>
        <v/>
      </c>
    </row>
    <row r="216" spans="10:10" x14ac:dyDescent="0.25">
      <c r="J216" t="str">
        <f t="shared" si="3"/>
        <v/>
      </c>
    </row>
    <row r="217" spans="10:10" x14ac:dyDescent="0.25">
      <c r="J217" t="str">
        <f t="shared" si="3"/>
        <v/>
      </c>
    </row>
    <row r="218" spans="10:10" x14ac:dyDescent="0.25">
      <c r="J218" t="str">
        <f t="shared" si="3"/>
        <v/>
      </c>
    </row>
    <row r="219" spans="10:10" x14ac:dyDescent="0.25">
      <c r="J219" t="str">
        <f t="shared" si="3"/>
        <v/>
      </c>
    </row>
    <row r="220" spans="10:10" x14ac:dyDescent="0.25">
      <c r="J220" t="str">
        <f t="shared" si="3"/>
        <v/>
      </c>
    </row>
    <row r="221" spans="10:10" x14ac:dyDescent="0.25">
      <c r="J221" t="str">
        <f t="shared" si="3"/>
        <v/>
      </c>
    </row>
    <row r="222" spans="10:10" x14ac:dyDescent="0.25">
      <c r="J222" t="str">
        <f t="shared" si="3"/>
        <v/>
      </c>
    </row>
    <row r="223" spans="10:10" x14ac:dyDescent="0.25">
      <c r="J223" t="str">
        <f t="shared" si="3"/>
        <v/>
      </c>
    </row>
    <row r="224" spans="10:10" x14ac:dyDescent="0.25">
      <c r="J224" t="str">
        <f t="shared" si="3"/>
        <v/>
      </c>
    </row>
    <row r="225" spans="10:10" x14ac:dyDescent="0.25">
      <c r="J225" t="str">
        <f t="shared" si="3"/>
        <v/>
      </c>
    </row>
    <row r="226" spans="10:10" x14ac:dyDescent="0.25">
      <c r="J226" t="str">
        <f t="shared" si="3"/>
        <v/>
      </c>
    </row>
    <row r="227" spans="10:10" x14ac:dyDescent="0.25">
      <c r="J227" t="str">
        <f t="shared" si="3"/>
        <v/>
      </c>
    </row>
    <row r="228" spans="10:10" x14ac:dyDescent="0.25">
      <c r="J228" t="str">
        <f t="shared" si="3"/>
        <v/>
      </c>
    </row>
    <row r="229" spans="10:10" x14ac:dyDescent="0.25">
      <c r="J229" t="str">
        <f t="shared" si="3"/>
        <v/>
      </c>
    </row>
    <row r="230" spans="10:10" x14ac:dyDescent="0.25">
      <c r="J230" t="str">
        <f t="shared" si="3"/>
        <v/>
      </c>
    </row>
    <row r="231" spans="10:10" x14ac:dyDescent="0.25">
      <c r="J231" t="str">
        <f t="shared" si="3"/>
        <v/>
      </c>
    </row>
    <row r="232" spans="10:10" x14ac:dyDescent="0.25">
      <c r="J232" t="str">
        <f t="shared" si="3"/>
        <v/>
      </c>
    </row>
    <row r="233" spans="10:10" x14ac:dyDescent="0.25">
      <c r="J233" t="str">
        <f t="shared" si="3"/>
        <v/>
      </c>
    </row>
    <row r="234" spans="10:10" x14ac:dyDescent="0.25">
      <c r="J234" t="str">
        <f t="shared" si="3"/>
        <v/>
      </c>
    </row>
    <row r="235" spans="10:10" x14ac:dyDescent="0.25">
      <c r="J235" t="str">
        <f t="shared" si="3"/>
        <v/>
      </c>
    </row>
    <row r="236" spans="10:10" x14ac:dyDescent="0.25">
      <c r="J236" t="str">
        <f t="shared" si="3"/>
        <v/>
      </c>
    </row>
    <row r="237" spans="10:10" x14ac:dyDescent="0.25">
      <c r="J237" t="str">
        <f t="shared" si="3"/>
        <v/>
      </c>
    </row>
    <row r="238" spans="10:10" x14ac:dyDescent="0.25">
      <c r="J238" t="str">
        <f t="shared" si="3"/>
        <v/>
      </c>
    </row>
    <row r="239" spans="10:10" x14ac:dyDescent="0.25">
      <c r="J239" t="str">
        <f t="shared" si="3"/>
        <v/>
      </c>
    </row>
    <row r="240" spans="10:10" x14ac:dyDescent="0.25">
      <c r="J240" t="str">
        <f t="shared" si="3"/>
        <v/>
      </c>
    </row>
    <row r="241" spans="10:10" x14ac:dyDescent="0.25">
      <c r="J241" t="str">
        <f t="shared" si="3"/>
        <v/>
      </c>
    </row>
    <row r="242" spans="10:10" x14ac:dyDescent="0.25">
      <c r="J242" t="str">
        <f t="shared" si="3"/>
        <v/>
      </c>
    </row>
  </sheetData>
  <mergeCells count="3">
    <mergeCell ref="H1:Q1"/>
    <mergeCell ref="R1:AL1"/>
    <mergeCell ref="A1:G1"/>
  </mergeCells>
  <dataValidations count="6">
    <dataValidation type="list" allowBlank="1" showInputMessage="1" showErrorMessage="1" sqref="I3:I162" xr:uid="{B3AD3280-6941-4194-8DD9-538195DC08B9}">
      <formula1>standard_designation_bar_list</formula1>
    </dataValidation>
    <dataValidation type="list" allowBlank="1" showInputMessage="1" showErrorMessage="1" sqref="F3:F243" xr:uid="{B639DC9D-B139-4B92-9810-F75C5651CC80}">
      <formula1>reinforcement_type_list</formula1>
    </dataValidation>
    <dataValidation type="list" allowBlank="1" showInputMessage="1" showErrorMessage="1" sqref="G3:G501" xr:uid="{6BFC7C39-B299-4244-81B3-8170CBA95065}">
      <formula1>orientation_list</formula1>
    </dataValidation>
    <dataValidation type="list" allowBlank="1" showInputMessage="1" showErrorMessage="1" sqref="Y3:Y500" xr:uid="{63C09C0A-5C04-4F1A-A48C-69BBC5C13552}">
      <formula1>adhesive_type_list</formula1>
    </dataValidation>
    <dataValidation type="list" allowBlank="1" showInputMessage="1" showErrorMessage="1" sqref="AD3:AD500" xr:uid="{89CAFB83-3934-4E27-9E2D-7EF29A067DAD}">
      <formula1>yes_no_list</formula1>
    </dataValidation>
    <dataValidation type="list" allowBlank="1" showInputMessage="1" showErrorMessage="1" sqref="AE3:AE500" xr:uid="{48E14D03-1E95-477F-BC2A-BC293CF73E16}">
      <formula1>anchorage_type_list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BEDD-3867-49AA-9C2F-6AABE06A2A2D}">
  <dimension ref="A1:H2"/>
  <sheetViews>
    <sheetView workbookViewId="0">
      <selection activeCell="E10" sqref="E10"/>
    </sheetView>
  </sheetViews>
  <sheetFormatPr defaultRowHeight="15" x14ac:dyDescent="0.25"/>
  <cols>
    <col min="1" max="1" width="17.7109375" customWidth="1"/>
    <col min="2" max="3" width="12" customWidth="1"/>
    <col min="4" max="4" width="13.140625" customWidth="1"/>
    <col min="5" max="5" width="29.140625" customWidth="1"/>
    <col min="6" max="6" width="25.5703125" customWidth="1"/>
    <col min="7" max="7" width="23.5703125" customWidth="1"/>
    <col min="8" max="8" width="20" customWidth="1"/>
  </cols>
  <sheetData>
    <row r="1" spans="1:8" x14ac:dyDescent="0.25">
      <c r="A1" s="30" t="s">
        <v>1090</v>
      </c>
      <c r="B1" s="31" t="s">
        <v>0</v>
      </c>
      <c r="C1" s="31" t="s">
        <v>21</v>
      </c>
      <c r="D1" s="31" t="s">
        <v>342</v>
      </c>
      <c r="E1" s="44" t="s">
        <v>1253</v>
      </c>
      <c r="F1" s="44" t="s">
        <v>1259</v>
      </c>
      <c r="G1" s="22" t="s">
        <v>418</v>
      </c>
      <c r="H1" s="40" t="s">
        <v>12</v>
      </c>
    </row>
    <row r="2" spans="1:8" x14ac:dyDescent="0.25">
      <c r="A2" t="s">
        <v>1091</v>
      </c>
      <c r="B2" t="s">
        <v>13</v>
      </c>
      <c r="C2" t="s">
        <v>700</v>
      </c>
      <c r="D2" t="s">
        <v>346</v>
      </c>
      <c r="E2" t="s">
        <v>1254</v>
      </c>
      <c r="G2" t="s">
        <v>426</v>
      </c>
    </row>
  </sheetData>
  <dataValidations count="1">
    <dataValidation type="list" allowBlank="1" showInputMessage="1" showErrorMessage="1" sqref="G2:G493" xr:uid="{8CB31358-00B6-452C-A4FF-E27DA48EDF81}">
      <formula1>structural_form_list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>
      <pane ySplit="1" topLeftCell="A2" activePane="bottomLeft" state="frozen"/>
      <selection activeCell="L1" sqref="L1"/>
      <selection pane="bottomLeft" activeCell="D2" sqref="D2"/>
    </sheetView>
  </sheetViews>
  <sheetFormatPr defaultRowHeight="15" x14ac:dyDescent="0.25"/>
  <cols>
    <col min="1" max="3" width="12" customWidth="1"/>
    <col min="4" max="4" width="21.42578125" customWidth="1"/>
    <col min="5" max="5" width="18.5703125" customWidth="1"/>
    <col min="6" max="6" width="24.7109375" customWidth="1"/>
    <col min="7" max="9" width="22" customWidth="1"/>
    <col min="10" max="10" width="10" customWidth="1"/>
    <col min="11" max="15" width="16" customWidth="1"/>
    <col min="16" max="17" width="18.28515625" customWidth="1"/>
    <col min="18" max="18" width="14" customWidth="1"/>
    <col min="19" max="19" width="38" customWidth="1"/>
  </cols>
  <sheetData>
    <row r="1" spans="1:19" ht="45" x14ac:dyDescent="0.25">
      <c r="A1" s="1" t="s">
        <v>47</v>
      </c>
      <c r="B1" s="1" t="s">
        <v>0</v>
      </c>
      <c r="C1" s="1" t="s">
        <v>1090</v>
      </c>
      <c r="D1" s="1" t="s">
        <v>1381</v>
      </c>
      <c r="E1" s="1" t="s">
        <v>49</v>
      </c>
      <c r="F1" s="1" t="s">
        <v>430</v>
      </c>
      <c r="G1" s="1" t="s">
        <v>48</v>
      </c>
      <c r="H1" s="1" t="s">
        <v>1068</v>
      </c>
      <c r="I1" s="1" t="s">
        <v>943</v>
      </c>
      <c r="J1" s="1" t="s">
        <v>53</v>
      </c>
      <c r="K1" s="1" t="s">
        <v>54</v>
      </c>
      <c r="L1" s="1" t="s">
        <v>1245</v>
      </c>
      <c r="M1" s="1" t="s">
        <v>1246</v>
      </c>
      <c r="N1" s="1" t="s">
        <v>942</v>
      </c>
      <c r="O1" s="1" t="s">
        <v>1250</v>
      </c>
      <c r="P1" s="1" t="s">
        <v>1251</v>
      </c>
      <c r="Q1" s="1" t="s">
        <v>1252</v>
      </c>
      <c r="R1" s="2" t="s">
        <v>55</v>
      </c>
      <c r="S1" s="1" t="s">
        <v>12</v>
      </c>
    </row>
    <row r="2" spans="1:19" x14ac:dyDescent="0.25">
      <c r="A2" t="s">
        <v>701</v>
      </c>
      <c r="B2" t="s">
        <v>13</v>
      </c>
      <c r="C2" t="s">
        <v>1091</v>
      </c>
      <c r="G2" t="s">
        <v>190</v>
      </c>
      <c r="J2">
        <v>28</v>
      </c>
      <c r="N2">
        <v>20</v>
      </c>
      <c r="P2">
        <v>50</v>
      </c>
    </row>
  </sheetData>
  <dataValidations count="5">
    <dataValidation type="list" sqref="G2:G500" xr:uid="{00000000-0002-0000-0200-000000000000}">
      <formula1>test_type_list</formula1>
    </dataValidation>
    <dataValidation type="list" allowBlank="1" showInputMessage="1" showErrorMessage="1" sqref="K2:K116" xr:uid="{A7EF7C00-86E9-44AB-9B8F-B342C79B49D0}">
      <formula1>curing_condition_list</formula1>
    </dataValidation>
    <dataValidation type="list" allowBlank="1" showInputMessage="1" showErrorMessage="1" sqref="L2:L500" xr:uid="{755C7FD9-3BA4-43E4-9E43-C3A1AF8270A7}">
      <formula1>hygral_boundary_condition_list</formula1>
    </dataValidation>
    <dataValidation type="list" allowBlank="1" showInputMessage="1" showErrorMessage="1" sqref="M2:M500" xr:uid="{0EBBAA99-B2A2-43F5-AEB1-CCD03FA0D3A6}">
      <formula1>thermal_boundary_condition_list</formula1>
    </dataValidation>
    <dataValidation type="list" allowBlank="1" showInputMessage="1" showErrorMessage="1" sqref="I2:I500" xr:uid="{81BD379E-4656-4EBD-BF8E-05D572DCF544}">
      <formula1>observed_mechanism_list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A30B-0D71-462D-AB8A-79439DEB9EF0}">
  <dimension ref="A1:J8"/>
  <sheetViews>
    <sheetView workbookViewId="0">
      <selection activeCell="J1" sqref="J1"/>
    </sheetView>
  </sheetViews>
  <sheetFormatPr defaultRowHeight="15" x14ac:dyDescent="0.25"/>
  <cols>
    <col min="1" max="1" width="17.7109375" customWidth="1"/>
    <col min="2" max="3" width="12" customWidth="1"/>
    <col min="4" max="8" width="18.140625" customWidth="1"/>
    <col min="9" max="9" width="23.140625" customWidth="1"/>
    <col min="10" max="10" width="29.42578125" customWidth="1"/>
  </cols>
  <sheetData>
    <row r="1" spans="1:10" s="3" customFormat="1" x14ac:dyDescent="0.25">
      <c r="A1" s="3" t="s">
        <v>366</v>
      </c>
      <c r="B1" s="1" t="s">
        <v>0</v>
      </c>
      <c r="C1" s="1" t="s">
        <v>47</v>
      </c>
      <c r="D1" s="1" t="s">
        <v>374</v>
      </c>
      <c r="E1" s="8" t="s">
        <v>378</v>
      </c>
      <c r="F1" s="8" t="s">
        <v>379</v>
      </c>
      <c r="G1" s="8" t="s">
        <v>380</v>
      </c>
      <c r="H1" s="8" t="s">
        <v>412</v>
      </c>
      <c r="I1" s="8" t="s">
        <v>1072</v>
      </c>
      <c r="J1" s="3" t="s">
        <v>12</v>
      </c>
    </row>
    <row r="2" spans="1:10" x14ac:dyDescent="0.25">
      <c r="A2" t="s">
        <v>367</v>
      </c>
      <c r="B2" t="s">
        <v>13</v>
      </c>
      <c r="C2" t="s">
        <v>701</v>
      </c>
      <c r="D2" t="s">
        <v>81</v>
      </c>
    </row>
    <row r="3" spans="1:10" x14ac:dyDescent="0.25">
      <c r="A3" t="s">
        <v>368</v>
      </c>
      <c r="D3" t="s">
        <v>89</v>
      </c>
    </row>
    <row r="4" spans="1:10" x14ac:dyDescent="0.25">
      <c r="A4" t="s">
        <v>369</v>
      </c>
      <c r="D4" t="s">
        <v>96</v>
      </c>
    </row>
    <row r="5" spans="1:10" x14ac:dyDescent="0.25">
      <c r="A5" t="s">
        <v>370</v>
      </c>
      <c r="D5" t="s">
        <v>101</v>
      </c>
    </row>
    <row r="6" spans="1:10" x14ac:dyDescent="0.25">
      <c r="A6" t="s">
        <v>371</v>
      </c>
      <c r="D6" t="s">
        <v>105</v>
      </c>
    </row>
    <row r="7" spans="1:10" x14ac:dyDescent="0.25">
      <c r="A7" t="s">
        <v>372</v>
      </c>
      <c r="D7" t="s">
        <v>82</v>
      </c>
    </row>
    <row r="8" spans="1:10" x14ac:dyDescent="0.25">
      <c r="A8" t="s">
        <v>373</v>
      </c>
      <c r="D8" t="s">
        <v>1118</v>
      </c>
    </row>
  </sheetData>
  <phoneticPr fontId="8" type="noConversion"/>
  <dataValidations count="2">
    <dataValidation type="list" allowBlank="1" showInputMessage="1" showErrorMessage="1" sqref="D2:D110" xr:uid="{BFF3B162-CA75-4791-8F8A-148A2DF2A09D}">
      <formula1>device_type_list</formula1>
    </dataValidation>
    <dataValidation type="list" allowBlank="1" showInputMessage="1" showErrorMessage="1" sqref="H2:H500" xr:uid="{027B29D3-018F-4B57-9B4E-D6EB8F280CCB}">
      <formula1>orientation_list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0D0A-295F-4D26-81D7-D42203017F2F}">
  <dimension ref="A1:L2"/>
  <sheetViews>
    <sheetView workbookViewId="0">
      <selection activeCell="L1" sqref="L1"/>
    </sheetView>
  </sheetViews>
  <sheetFormatPr defaultRowHeight="15" x14ac:dyDescent="0.25"/>
  <cols>
    <col min="1" max="1" width="17.7109375" customWidth="1"/>
    <col min="2" max="3" width="12" customWidth="1"/>
    <col min="4" max="4" width="18.140625" customWidth="1"/>
    <col min="5" max="5" width="29.42578125" customWidth="1"/>
    <col min="6" max="6" width="28.28515625" customWidth="1"/>
    <col min="7" max="7" width="29" customWidth="1"/>
    <col min="8" max="10" width="27.28515625" customWidth="1"/>
    <col min="11" max="11" width="25.7109375" customWidth="1"/>
    <col min="12" max="12" width="18.140625" customWidth="1"/>
  </cols>
  <sheetData>
    <row r="1" spans="1:12" s="7" customFormat="1" x14ac:dyDescent="0.25">
      <c r="A1" s="7" t="s">
        <v>411</v>
      </c>
      <c r="B1" s="1" t="s">
        <v>0</v>
      </c>
      <c r="C1" s="1" t="s">
        <v>47</v>
      </c>
      <c r="D1" s="1" t="s">
        <v>366</v>
      </c>
      <c r="E1" s="7" t="s">
        <v>50</v>
      </c>
      <c r="F1" s="7" t="s">
        <v>1247</v>
      </c>
      <c r="G1" s="7" t="s">
        <v>463</v>
      </c>
      <c r="H1" s="7" t="s">
        <v>413</v>
      </c>
      <c r="I1" s="7" t="s">
        <v>464</v>
      </c>
      <c r="J1" s="7" t="s">
        <v>465</v>
      </c>
      <c r="K1" s="7" t="s">
        <v>51</v>
      </c>
      <c r="L1" s="7" t="s">
        <v>12</v>
      </c>
    </row>
    <row r="2" spans="1:12" x14ac:dyDescent="0.25">
      <c r="A2" t="s">
        <v>713</v>
      </c>
      <c r="B2" t="s">
        <v>13</v>
      </c>
      <c r="C2" t="s">
        <v>701</v>
      </c>
      <c r="D2" t="s">
        <v>367</v>
      </c>
    </row>
  </sheetData>
  <dataValidations count="2">
    <dataValidation type="list" allowBlank="1" showInputMessage="1" showErrorMessage="1" sqref="E2:E500" xr:uid="{BDE6D01B-F315-4BA9-B272-A06124B7E30B}">
      <formula1>loading_mode_list</formula1>
    </dataValidation>
    <dataValidation type="list" allowBlank="1" showInputMessage="1" showErrorMessage="1" sqref="F2:F500" xr:uid="{E9070C8B-5B20-4804-B37F-A256CC7D2263}">
      <formula1>loading_control_variable_list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"/>
  <sheetViews>
    <sheetView workbookViewId="0">
      <pane ySplit="2" topLeftCell="A3" activePane="bottomLeft" state="frozen"/>
      <selection pane="bottomLeft" activeCell="G17" sqref="G17"/>
    </sheetView>
  </sheetViews>
  <sheetFormatPr defaultRowHeight="15" x14ac:dyDescent="0.25"/>
  <cols>
    <col min="1" max="3" width="12" customWidth="1"/>
    <col min="4" max="4" width="15.140625" customWidth="1"/>
    <col min="5" max="5" width="16" customWidth="1"/>
    <col min="6" max="8" width="19.28515625" customWidth="1"/>
    <col min="9" max="9" width="12" customWidth="1"/>
    <col min="10" max="10" width="24.7109375" customWidth="1"/>
    <col min="11" max="11" width="16.5703125" style="14" customWidth="1"/>
    <col min="12" max="12" width="16.5703125" customWidth="1"/>
    <col min="13" max="13" width="21.140625" customWidth="1"/>
    <col min="14" max="15" width="26.42578125" customWidth="1"/>
    <col min="16" max="16" width="37.28515625" customWidth="1"/>
    <col min="17" max="17" width="12" style="14" customWidth="1"/>
    <col min="18" max="18" width="13.85546875" customWidth="1"/>
    <col min="19" max="19" width="13.28515625" customWidth="1"/>
    <col min="20" max="20" width="21.140625" customWidth="1"/>
    <col min="21" max="21" width="26.42578125" customWidth="1"/>
    <col min="22" max="22" width="23" customWidth="1"/>
    <col min="23" max="23" width="26.42578125" customWidth="1"/>
    <col min="24" max="24" width="29" style="14" customWidth="1"/>
    <col min="25" max="26" width="29" customWidth="1"/>
    <col min="27" max="27" width="41.140625" style="14" customWidth="1"/>
    <col min="28" max="28" width="26.28515625" customWidth="1"/>
    <col min="29" max="29" width="24" customWidth="1"/>
    <col min="30" max="30" width="26.85546875" customWidth="1"/>
    <col min="31" max="31" width="24" customWidth="1"/>
    <col min="32" max="32" width="29.42578125" style="14" customWidth="1"/>
  </cols>
  <sheetData>
    <row r="1" spans="1:32" x14ac:dyDescent="0.25">
      <c r="A1" s="76" t="s">
        <v>388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 t="s">
        <v>385</v>
      </c>
      <c r="M1" s="79"/>
      <c r="N1" s="79"/>
      <c r="O1" s="79"/>
      <c r="P1" s="79"/>
      <c r="Q1" s="80"/>
      <c r="R1" s="81" t="s">
        <v>386</v>
      </c>
      <c r="S1" s="82"/>
      <c r="T1" s="82"/>
      <c r="U1" s="82"/>
      <c r="V1" s="82"/>
      <c r="W1" s="82"/>
      <c r="X1" s="83"/>
      <c r="Y1" s="84" t="s">
        <v>391</v>
      </c>
      <c r="Z1" s="85"/>
      <c r="AA1" s="86"/>
      <c r="AB1" s="87" t="s">
        <v>392</v>
      </c>
      <c r="AC1" s="88"/>
      <c r="AD1" s="88"/>
      <c r="AE1" s="88"/>
      <c r="AF1" s="89"/>
    </row>
    <row r="2" spans="1:32" x14ac:dyDescent="0.25">
      <c r="A2" s="29" t="s">
        <v>69</v>
      </c>
      <c r="B2" s="29" t="s">
        <v>0</v>
      </c>
      <c r="C2" s="29" t="s">
        <v>47</v>
      </c>
      <c r="D2" s="69" t="s">
        <v>1352</v>
      </c>
      <c r="E2" s="3" t="s">
        <v>12</v>
      </c>
      <c r="F2" s="3" t="s">
        <v>76</v>
      </c>
      <c r="G2" s="1" t="s">
        <v>1248</v>
      </c>
      <c r="H2" s="3" t="s">
        <v>108</v>
      </c>
      <c r="I2" s="1" t="s">
        <v>70</v>
      </c>
      <c r="J2" s="1" t="s">
        <v>1382</v>
      </c>
      <c r="K2" s="15" t="s">
        <v>377</v>
      </c>
      <c r="L2" s="16" t="s">
        <v>366</v>
      </c>
      <c r="M2" s="29" t="s">
        <v>383</v>
      </c>
      <c r="N2" s="17" t="s">
        <v>384</v>
      </c>
      <c r="O2" s="70" t="s">
        <v>431</v>
      </c>
      <c r="P2" s="17" t="s">
        <v>432</v>
      </c>
      <c r="Q2" s="71" t="s">
        <v>107</v>
      </c>
      <c r="R2" s="18" t="s">
        <v>73</v>
      </c>
      <c r="S2" s="18" t="s">
        <v>74</v>
      </c>
      <c r="T2" s="72" t="s">
        <v>71</v>
      </c>
      <c r="U2" s="70" t="s">
        <v>376</v>
      </c>
      <c r="V2" s="72" t="s">
        <v>72</v>
      </c>
      <c r="W2" s="70" t="s">
        <v>375</v>
      </c>
      <c r="X2" s="71" t="s">
        <v>75</v>
      </c>
      <c r="Y2" s="69" t="s">
        <v>390</v>
      </c>
      <c r="Z2" s="19" t="s">
        <v>387</v>
      </c>
      <c r="AA2" s="73" t="s">
        <v>389</v>
      </c>
      <c r="AB2" s="69" t="s">
        <v>708</v>
      </c>
      <c r="AC2" s="20" t="s">
        <v>709</v>
      </c>
      <c r="AD2" s="20" t="s">
        <v>710</v>
      </c>
      <c r="AE2" s="20" t="s">
        <v>711</v>
      </c>
      <c r="AF2" s="73" t="s">
        <v>712</v>
      </c>
    </row>
    <row r="3" spans="1:32" x14ac:dyDescent="0.25">
      <c r="A3" t="s">
        <v>77</v>
      </c>
      <c r="B3" t="s">
        <v>13</v>
      </c>
      <c r="C3" t="s">
        <v>701</v>
      </c>
      <c r="D3" t="s">
        <v>1353</v>
      </c>
      <c r="G3" t="s">
        <v>110</v>
      </c>
      <c r="I3" t="s">
        <v>78</v>
      </c>
      <c r="K3" s="14" t="s">
        <v>56</v>
      </c>
      <c r="M3" t="s">
        <v>79</v>
      </c>
      <c r="N3" t="s">
        <v>199</v>
      </c>
      <c r="Q3" s="14" t="s">
        <v>84</v>
      </c>
      <c r="T3" t="s">
        <v>79</v>
      </c>
      <c r="V3" t="s">
        <v>80</v>
      </c>
      <c r="X3" s="14" t="s">
        <v>83</v>
      </c>
    </row>
    <row r="4" spans="1:32" x14ac:dyDescent="0.25">
      <c r="A4" t="s">
        <v>86</v>
      </c>
      <c r="G4" t="s">
        <v>156</v>
      </c>
      <c r="M4" t="s">
        <v>87</v>
      </c>
      <c r="N4" t="s">
        <v>132</v>
      </c>
      <c r="Q4" s="14" t="s">
        <v>91</v>
      </c>
      <c r="T4" t="s">
        <v>87</v>
      </c>
      <c r="V4" t="s">
        <v>88</v>
      </c>
      <c r="X4" s="14" t="s">
        <v>90</v>
      </c>
    </row>
    <row r="5" spans="1:32" x14ac:dyDescent="0.25">
      <c r="A5" t="s">
        <v>93</v>
      </c>
      <c r="G5" t="s">
        <v>109</v>
      </c>
      <c r="I5" t="s">
        <v>78</v>
      </c>
      <c r="M5" t="s">
        <v>94</v>
      </c>
      <c r="N5" t="s">
        <v>132</v>
      </c>
      <c r="Q5" s="14" t="s">
        <v>91</v>
      </c>
      <c r="T5" t="s">
        <v>94</v>
      </c>
      <c r="V5" t="s">
        <v>95</v>
      </c>
      <c r="X5" s="14" t="s">
        <v>97</v>
      </c>
    </row>
    <row r="6" spans="1:32" x14ac:dyDescent="0.25">
      <c r="A6" t="s">
        <v>99</v>
      </c>
      <c r="I6" t="s">
        <v>100</v>
      </c>
      <c r="X6" s="14" t="s">
        <v>102</v>
      </c>
    </row>
    <row r="7" spans="1:32" x14ac:dyDescent="0.25">
      <c r="A7" t="s">
        <v>103</v>
      </c>
      <c r="I7" t="s">
        <v>104</v>
      </c>
      <c r="X7" s="14" t="s">
        <v>106</v>
      </c>
    </row>
  </sheetData>
  <mergeCells count="5">
    <mergeCell ref="A1:K1"/>
    <mergeCell ref="L1:Q1"/>
    <mergeCell ref="R1:X1"/>
    <mergeCell ref="Y1:AA1"/>
    <mergeCell ref="AB1:AF1"/>
  </mergeCells>
  <dataValidations count="5">
    <dataValidation type="list" sqref="I3:I501" xr:uid="{00000000-0002-0000-0300-000000000000}">
      <formula1>data_type_list</formula1>
    </dataValidation>
    <dataValidation type="list" allowBlank="1" showInputMessage="1" showErrorMessage="1" sqref="T3:T152 V3:V148 M3:M152" xr:uid="{9592313C-B7F1-4A85-B31A-1233543C82C1}">
      <formula1>reported_quantity_list</formula1>
    </dataValidation>
    <dataValidation type="list" allowBlank="1" showInputMessage="1" showErrorMessage="1" sqref="U3:U501 W3:W501 N3:N501" xr:uid="{956B02C8-95CC-4C18-B7A4-29FFB2671A7A}">
      <formula1>quantity_reported_type_list</formula1>
    </dataValidation>
    <dataValidation type="list" sqref="G3:G501" xr:uid="{59F7FFF5-8435-4914-880F-2810CE6BE41A}">
      <formula1>extraction_method_list</formula1>
    </dataValidation>
    <dataValidation type="list" allowBlank="1" showInputMessage="1" showErrorMessage="1" sqref="Q3:Q500" xr:uid="{905C5D48-E47D-467E-A454-EE619CB32700}">
      <formula1>units_type_list</formula1>
    </dataValidation>
  </dataValidation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2670-1856-49B0-8A80-6DCE67A2CCBA}">
  <dimension ref="A1:B2"/>
  <sheetViews>
    <sheetView workbookViewId="0">
      <selection activeCell="L26" sqref="L26"/>
    </sheetView>
  </sheetViews>
  <sheetFormatPr defaultRowHeight="15" x14ac:dyDescent="0.25"/>
  <cols>
    <col min="1" max="2" width="19.140625" customWidth="1"/>
  </cols>
  <sheetData>
    <row r="1" spans="1:2" x14ac:dyDescent="0.25">
      <c r="A1" s="7"/>
      <c r="B1" s="7"/>
    </row>
    <row r="2" spans="1:2" x14ac:dyDescent="0.25">
      <c r="A2" s="1" t="s">
        <v>381</v>
      </c>
      <c r="B2" s="1" t="s">
        <v>382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86"/>
  <sheetViews>
    <sheetView tabSelected="1" workbookViewId="0">
      <pane ySplit="1" topLeftCell="A57" activePane="bottomLeft" state="frozen"/>
      <selection activeCell="Q1" sqref="Q1"/>
      <selection pane="bottomLeft" activeCell="C63" sqref="C63"/>
    </sheetView>
  </sheetViews>
  <sheetFormatPr defaultRowHeight="15" x14ac:dyDescent="0.25"/>
  <cols>
    <col min="1" max="1" width="18" customWidth="1"/>
    <col min="2" max="2" width="36.140625" customWidth="1"/>
    <col min="3" max="3" width="46.28515625" customWidth="1"/>
    <col min="4" max="4" width="33.28515625" customWidth="1"/>
    <col min="5" max="5" width="50.7109375" customWidth="1"/>
    <col min="6" max="6" width="31.5703125" style="5" customWidth="1"/>
    <col min="7" max="7" width="32.42578125" style="5" customWidth="1"/>
    <col min="8" max="8" width="19" customWidth="1"/>
    <col min="9" max="9" width="16" customWidth="1"/>
    <col min="10" max="10" width="28.85546875" customWidth="1"/>
    <col min="11" max="12" width="24" customWidth="1"/>
    <col min="13" max="13" width="13" customWidth="1"/>
    <col min="14" max="18" width="37.28515625" customWidth="1"/>
    <col min="19" max="19" width="18.85546875" customWidth="1"/>
    <col min="20" max="20" width="23.5703125" customWidth="1"/>
    <col min="21" max="21" width="30.42578125" customWidth="1"/>
    <col min="22" max="22" width="36.85546875" customWidth="1"/>
    <col min="23" max="23" width="30.42578125" customWidth="1"/>
    <col min="24" max="24" width="37.85546875" customWidth="1"/>
    <col min="25" max="29" width="30.42578125" customWidth="1"/>
    <col min="30" max="30" width="33.28515625" customWidth="1"/>
    <col min="31" max="31" width="30.42578125" customWidth="1"/>
    <col min="32" max="32" width="32" customWidth="1"/>
    <col min="33" max="33" width="28.140625" customWidth="1"/>
    <col min="34" max="34" width="32" customWidth="1"/>
    <col min="35" max="35" width="28.140625" customWidth="1"/>
    <col min="36" max="36" width="33.85546875" customWidth="1"/>
    <col min="37" max="37" width="28.7109375" customWidth="1"/>
    <col min="38" max="38" width="30" customWidth="1"/>
    <col min="39" max="40" width="28" customWidth="1"/>
    <col min="41" max="41" width="14.7109375" customWidth="1"/>
  </cols>
  <sheetData>
    <row r="1" spans="1:41" s="52" customFormat="1" ht="30" x14ac:dyDescent="0.25">
      <c r="A1" s="45" t="s">
        <v>111</v>
      </c>
      <c r="B1" s="45" t="s">
        <v>112</v>
      </c>
      <c r="C1" s="46" t="s">
        <v>113</v>
      </c>
      <c r="D1" s="47" t="s">
        <v>1073</v>
      </c>
      <c r="E1" s="40" t="s">
        <v>340</v>
      </c>
      <c r="F1" s="45" t="s">
        <v>360</v>
      </c>
      <c r="G1" s="45" t="s">
        <v>363</v>
      </c>
      <c r="H1" s="45" t="s">
        <v>114</v>
      </c>
      <c r="I1" s="45" t="s">
        <v>115</v>
      </c>
      <c r="J1" s="45" t="s">
        <v>1099</v>
      </c>
      <c r="K1" s="45" t="s">
        <v>116</v>
      </c>
      <c r="L1" s="45" t="s">
        <v>394</v>
      </c>
      <c r="M1" s="45" t="s">
        <v>117</v>
      </c>
      <c r="N1" s="45" t="s">
        <v>118</v>
      </c>
      <c r="O1" s="45" t="s">
        <v>1203</v>
      </c>
      <c r="P1" s="45" t="s">
        <v>1213</v>
      </c>
      <c r="Q1" s="45" t="s">
        <v>1228</v>
      </c>
      <c r="R1" s="45" t="s">
        <v>1244</v>
      </c>
      <c r="S1" s="48" t="s">
        <v>119</v>
      </c>
      <c r="T1" s="48" t="s">
        <v>120</v>
      </c>
      <c r="U1" s="49" t="s">
        <v>121</v>
      </c>
      <c r="V1" s="49" t="s">
        <v>122</v>
      </c>
      <c r="W1" s="50" t="s">
        <v>1119</v>
      </c>
      <c r="X1" s="47" t="s">
        <v>1120</v>
      </c>
      <c r="Y1" s="49" t="s">
        <v>123</v>
      </c>
      <c r="Z1" s="49" t="s">
        <v>124</v>
      </c>
      <c r="AA1" s="49" t="s">
        <v>125</v>
      </c>
      <c r="AB1" s="50" t="s">
        <v>126</v>
      </c>
      <c r="AC1" s="49" t="s">
        <v>423</v>
      </c>
      <c r="AD1" s="47" t="s">
        <v>1102</v>
      </c>
      <c r="AE1" s="49" t="s">
        <v>127</v>
      </c>
      <c r="AF1" s="49" t="s">
        <v>341</v>
      </c>
      <c r="AG1" s="50" t="s">
        <v>128</v>
      </c>
      <c r="AH1" s="47" t="s">
        <v>1101</v>
      </c>
      <c r="AI1" s="51" t="s">
        <v>679</v>
      </c>
      <c r="AJ1" s="51" t="s">
        <v>680</v>
      </c>
      <c r="AK1" s="49" t="s">
        <v>1262</v>
      </c>
      <c r="AL1" s="49" t="s">
        <v>129</v>
      </c>
      <c r="AM1" s="49" t="s">
        <v>130</v>
      </c>
      <c r="AN1" s="49" t="s">
        <v>714</v>
      </c>
    </row>
    <row r="2" spans="1:41" x14ac:dyDescent="0.25">
      <c r="A2" t="s">
        <v>189</v>
      </c>
      <c r="B2" s="53" t="s">
        <v>406</v>
      </c>
      <c r="C2" s="54" t="s">
        <v>499</v>
      </c>
      <c r="D2" s="53" t="s">
        <v>1116</v>
      </c>
      <c r="E2" s="5" t="s">
        <v>579</v>
      </c>
      <c r="F2" s="5" t="s">
        <v>361</v>
      </c>
      <c r="G2" s="5" t="s">
        <v>364</v>
      </c>
      <c r="H2" s="53" t="s">
        <v>141</v>
      </c>
      <c r="I2" t="s">
        <v>407</v>
      </c>
      <c r="J2" t="s">
        <v>199</v>
      </c>
      <c r="K2" t="s">
        <v>393</v>
      </c>
      <c r="L2" t="s">
        <v>395</v>
      </c>
      <c r="M2" t="s">
        <v>133</v>
      </c>
      <c r="N2" t="s">
        <v>1201</v>
      </c>
      <c r="O2" t="s">
        <v>1196</v>
      </c>
      <c r="P2" t="s">
        <v>1204</v>
      </c>
      <c r="Q2" t="s">
        <v>1214</v>
      </c>
      <c r="R2" t="s">
        <v>1229</v>
      </c>
      <c r="S2" t="s">
        <v>168</v>
      </c>
      <c r="T2" t="s">
        <v>251</v>
      </c>
      <c r="U2" t="s">
        <v>285</v>
      </c>
      <c r="V2" t="s">
        <v>614</v>
      </c>
      <c r="W2" s="53" t="s">
        <v>628</v>
      </c>
      <c r="X2" s="53" t="s">
        <v>1074</v>
      </c>
      <c r="Y2" t="s">
        <v>161</v>
      </c>
      <c r="Z2" t="s">
        <v>178</v>
      </c>
      <c r="AA2" t="s">
        <v>98</v>
      </c>
      <c r="AB2" s="55" t="s">
        <v>150</v>
      </c>
      <c r="AC2" s="56" t="s">
        <v>662</v>
      </c>
      <c r="AD2" s="53" t="s">
        <v>349</v>
      </c>
      <c r="AE2" t="s">
        <v>187</v>
      </c>
      <c r="AF2" t="s">
        <v>409</v>
      </c>
      <c r="AG2" s="53" t="s">
        <v>398</v>
      </c>
      <c r="AH2" s="53" t="s">
        <v>1107</v>
      </c>
      <c r="AI2" t="s">
        <v>686</v>
      </c>
      <c r="AJ2" s="53" t="s">
        <v>694</v>
      </c>
      <c r="AK2" t="s">
        <v>139</v>
      </c>
      <c r="AL2">
        <v>9.5</v>
      </c>
      <c r="AM2">
        <v>71</v>
      </c>
      <c r="AN2" t="s">
        <v>715</v>
      </c>
      <c r="AO2" s="57"/>
    </row>
    <row r="3" spans="1:41" x14ac:dyDescent="0.25">
      <c r="A3" t="s">
        <v>140</v>
      </c>
      <c r="B3" s="53" t="s">
        <v>404</v>
      </c>
      <c r="C3" s="58" t="s">
        <v>1117</v>
      </c>
      <c r="D3" s="53" t="s">
        <v>1076</v>
      </c>
      <c r="E3" s="5" t="s">
        <v>578</v>
      </c>
      <c r="F3" s="5" t="s">
        <v>362</v>
      </c>
      <c r="G3" s="5" t="s">
        <v>365</v>
      </c>
      <c r="H3" s="53" t="s">
        <v>399</v>
      </c>
      <c r="I3" t="s">
        <v>408</v>
      </c>
      <c r="J3" t="s">
        <v>132</v>
      </c>
      <c r="K3" t="s">
        <v>156</v>
      </c>
      <c r="L3" t="s">
        <v>396</v>
      </c>
      <c r="M3" t="s">
        <v>142</v>
      </c>
      <c r="N3" t="s">
        <v>167</v>
      </c>
      <c r="O3" t="s">
        <v>1202</v>
      </c>
      <c r="P3" t="s">
        <v>1205</v>
      </c>
      <c r="Q3" t="s">
        <v>1215</v>
      </c>
      <c r="R3" t="s">
        <v>1230</v>
      </c>
      <c r="S3" t="s">
        <v>230</v>
      </c>
      <c r="T3" t="s">
        <v>168</v>
      </c>
      <c r="U3" t="s">
        <v>290</v>
      </c>
      <c r="V3" t="s">
        <v>624</v>
      </c>
      <c r="W3" s="55" t="s">
        <v>631</v>
      </c>
      <c r="X3" s="55" t="s">
        <v>1075</v>
      </c>
      <c r="Y3" t="s">
        <v>147</v>
      </c>
      <c r="Z3" t="s">
        <v>136</v>
      </c>
      <c r="AA3" t="s">
        <v>149</v>
      </c>
      <c r="AB3" s="55" t="s">
        <v>137</v>
      </c>
      <c r="AC3" s="55" t="s">
        <v>174</v>
      </c>
      <c r="AD3" t="s">
        <v>1105</v>
      </c>
      <c r="AE3" t="s">
        <v>228</v>
      </c>
      <c r="AF3" t="s">
        <v>330</v>
      </c>
      <c r="AG3" s="53" t="s">
        <v>678</v>
      </c>
      <c r="AH3" s="53" t="s">
        <v>1108</v>
      </c>
      <c r="AI3" t="s">
        <v>681</v>
      </c>
      <c r="AJ3" s="53" t="s">
        <v>695</v>
      </c>
      <c r="AK3" t="s">
        <v>152</v>
      </c>
      <c r="AL3">
        <v>12.7</v>
      </c>
      <c r="AM3">
        <v>129</v>
      </c>
      <c r="AN3" t="s">
        <v>716</v>
      </c>
    </row>
    <row r="4" spans="1:41" x14ac:dyDescent="0.25">
      <c r="A4" t="s">
        <v>178</v>
      </c>
      <c r="B4" s="53" t="s">
        <v>403</v>
      </c>
      <c r="C4" s="54" t="s">
        <v>466</v>
      </c>
      <c r="D4" s="53" t="s">
        <v>1077</v>
      </c>
      <c r="E4" s="5" t="s">
        <v>535</v>
      </c>
      <c r="F4" s="5" t="s">
        <v>197</v>
      </c>
      <c r="G4" s="5" t="s">
        <v>197</v>
      </c>
      <c r="H4" s="53" t="s">
        <v>154</v>
      </c>
      <c r="I4" t="s">
        <v>78</v>
      </c>
      <c r="J4" t="s">
        <v>197</v>
      </c>
      <c r="K4" t="s">
        <v>110</v>
      </c>
      <c r="L4" t="s">
        <v>397</v>
      </c>
      <c r="M4" t="s">
        <v>197</v>
      </c>
      <c r="N4" t="s">
        <v>157</v>
      </c>
      <c r="O4" t="s">
        <v>207</v>
      </c>
      <c r="P4" t="s">
        <v>1206</v>
      </c>
      <c r="Q4" t="s">
        <v>1216</v>
      </c>
      <c r="R4" t="s">
        <v>1231</v>
      </c>
      <c r="S4" t="s">
        <v>144</v>
      </c>
      <c r="T4" t="s">
        <v>239</v>
      </c>
      <c r="U4" t="s">
        <v>296</v>
      </c>
      <c r="V4" t="s">
        <v>98</v>
      </c>
      <c r="W4" s="53" t="s">
        <v>269</v>
      </c>
      <c r="X4" s="53"/>
      <c r="Y4" t="s">
        <v>185</v>
      </c>
      <c r="Z4" t="s">
        <v>173</v>
      </c>
      <c r="AA4" t="s">
        <v>88</v>
      </c>
      <c r="AB4" s="55" t="s">
        <v>186</v>
      </c>
      <c r="AC4" s="55" t="s">
        <v>426</v>
      </c>
      <c r="AD4" t="s">
        <v>1106</v>
      </c>
      <c r="AE4" t="s">
        <v>205</v>
      </c>
      <c r="AF4" t="s">
        <v>410</v>
      </c>
      <c r="AG4" s="53" t="s">
        <v>677</v>
      </c>
      <c r="AH4" s="53" t="s">
        <v>1109</v>
      </c>
      <c r="AI4" t="s">
        <v>685</v>
      </c>
      <c r="AJ4" s="53" t="s">
        <v>697</v>
      </c>
      <c r="AK4" t="s">
        <v>165</v>
      </c>
      <c r="AL4">
        <v>15.9</v>
      </c>
      <c r="AM4">
        <v>199</v>
      </c>
      <c r="AN4" t="s">
        <v>909</v>
      </c>
    </row>
    <row r="5" spans="1:41" x14ac:dyDescent="0.25">
      <c r="A5" t="s">
        <v>14</v>
      </c>
      <c r="B5" s="53" t="s">
        <v>428</v>
      </c>
      <c r="C5" s="54" t="s">
        <v>513</v>
      </c>
      <c r="D5" s="53" t="s">
        <v>179</v>
      </c>
      <c r="E5" s="5" t="s">
        <v>534</v>
      </c>
      <c r="H5" s="53" t="s">
        <v>57</v>
      </c>
      <c r="I5" t="s">
        <v>104</v>
      </c>
      <c r="K5" t="s">
        <v>109</v>
      </c>
      <c r="L5" t="s">
        <v>420</v>
      </c>
      <c r="N5" t="s">
        <v>181</v>
      </c>
      <c r="O5" t="s">
        <v>1199</v>
      </c>
      <c r="P5" t="s">
        <v>1207</v>
      </c>
      <c r="Q5" t="s">
        <v>1217</v>
      </c>
      <c r="R5" t="s">
        <v>1232</v>
      </c>
      <c r="S5" t="s">
        <v>158</v>
      </c>
      <c r="T5" t="s">
        <v>231</v>
      </c>
      <c r="U5" t="s">
        <v>292</v>
      </c>
      <c r="V5" t="s">
        <v>601</v>
      </c>
      <c r="W5" s="53" t="s">
        <v>105</v>
      </c>
      <c r="X5" s="53"/>
      <c r="Y5" t="s">
        <v>172</v>
      </c>
      <c r="Z5" t="s">
        <v>148</v>
      </c>
      <c r="AA5" t="s">
        <v>79</v>
      </c>
      <c r="AB5" s="55" t="s">
        <v>348</v>
      </c>
      <c r="AC5" s="55" t="s">
        <v>424</v>
      </c>
      <c r="AD5" s="53" t="s">
        <v>345</v>
      </c>
      <c r="AE5" t="s">
        <v>248</v>
      </c>
      <c r="AF5" t="s">
        <v>331</v>
      </c>
      <c r="AG5" s="53" t="s">
        <v>676</v>
      </c>
      <c r="AH5" s="53" t="s">
        <v>412</v>
      </c>
      <c r="AI5" t="s">
        <v>683</v>
      </c>
      <c r="AJ5" s="53" t="s">
        <v>690</v>
      </c>
      <c r="AK5" t="s">
        <v>177</v>
      </c>
      <c r="AL5">
        <v>19.100000000000001</v>
      </c>
      <c r="AM5">
        <v>284</v>
      </c>
      <c r="AN5" t="s">
        <v>882</v>
      </c>
    </row>
    <row r="6" spans="1:41" x14ac:dyDescent="0.25">
      <c r="A6" t="s">
        <v>661</v>
      </c>
      <c r="B6" s="53" t="s">
        <v>401</v>
      </c>
      <c r="C6" s="54" t="s">
        <v>497</v>
      </c>
      <c r="D6" s="53"/>
      <c r="E6" s="5" t="s">
        <v>526</v>
      </c>
      <c r="H6" s="53" t="s">
        <v>699</v>
      </c>
      <c r="I6" t="s">
        <v>155</v>
      </c>
      <c r="K6" t="s">
        <v>197</v>
      </c>
      <c r="L6" t="s">
        <v>444</v>
      </c>
      <c r="N6" t="s">
        <v>191</v>
      </c>
      <c r="O6" t="s">
        <v>1200</v>
      </c>
      <c r="P6" t="s">
        <v>1208</v>
      </c>
      <c r="Q6" t="s">
        <v>1218</v>
      </c>
      <c r="R6" t="s">
        <v>1233</v>
      </c>
      <c r="S6" t="s">
        <v>208</v>
      </c>
      <c r="T6" t="s">
        <v>257</v>
      </c>
      <c r="U6" t="s">
        <v>287</v>
      </c>
      <c r="V6" t="s">
        <v>1268</v>
      </c>
      <c r="W6" s="53" t="s">
        <v>171</v>
      </c>
      <c r="X6" s="53"/>
      <c r="Y6" t="s">
        <v>219</v>
      </c>
      <c r="Z6" t="s">
        <v>162</v>
      </c>
      <c r="AA6" t="s">
        <v>80</v>
      </c>
      <c r="AB6" s="55" t="s">
        <v>347</v>
      </c>
      <c r="AC6" s="55" t="s">
        <v>425</v>
      </c>
      <c r="AD6" s="53" t="s">
        <v>352</v>
      </c>
      <c r="AE6" t="s">
        <v>242</v>
      </c>
      <c r="AF6" t="s">
        <v>675</v>
      </c>
      <c r="AG6" s="53" t="s">
        <v>176</v>
      </c>
      <c r="AH6" s="53" t="s">
        <v>1110</v>
      </c>
      <c r="AI6" t="s">
        <v>684</v>
      </c>
      <c r="AJ6" s="53" t="s">
        <v>688</v>
      </c>
      <c r="AK6" t="s">
        <v>188</v>
      </c>
      <c r="AL6">
        <v>22.2</v>
      </c>
      <c r="AM6">
        <v>387</v>
      </c>
      <c r="AN6" t="s">
        <v>883</v>
      </c>
    </row>
    <row r="7" spans="1:41" x14ac:dyDescent="0.25">
      <c r="A7" t="s">
        <v>153</v>
      </c>
      <c r="B7" s="53" t="s">
        <v>405</v>
      </c>
      <c r="C7" s="54" t="s">
        <v>507</v>
      </c>
      <c r="D7" s="53"/>
      <c r="E7" s="5" t="s">
        <v>590</v>
      </c>
      <c r="H7" s="53" t="s">
        <v>698</v>
      </c>
      <c r="I7" t="s">
        <v>148</v>
      </c>
      <c r="L7" t="s">
        <v>197</v>
      </c>
      <c r="N7" t="s">
        <v>179</v>
      </c>
      <c r="O7" t="s">
        <v>143</v>
      </c>
      <c r="P7" t="s">
        <v>1209</v>
      </c>
      <c r="Q7" t="s">
        <v>1219</v>
      </c>
      <c r="R7" t="s">
        <v>1234</v>
      </c>
      <c r="S7" t="s">
        <v>200</v>
      </c>
      <c r="T7" t="s">
        <v>216</v>
      </c>
      <c r="U7" t="s">
        <v>294</v>
      </c>
      <c r="V7" t="s">
        <v>616</v>
      </c>
      <c r="W7" s="53" t="s">
        <v>96</v>
      </c>
      <c r="X7" s="53"/>
      <c r="Y7" t="s">
        <v>135</v>
      </c>
      <c r="Z7" t="s">
        <v>179</v>
      </c>
      <c r="AA7" t="s">
        <v>179</v>
      </c>
      <c r="AB7" s="55" t="s">
        <v>427</v>
      </c>
      <c r="AC7" s="55" t="s">
        <v>179</v>
      </c>
      <c r="AD7" s="53" t="s">
        <v>353</v>
      </c>
      <c r="AE7" t="s">
        <v>220</v>
      </c>
      <c r="AF7" t="s">
        <v>332</v>
      </c>
      <c r="AG7" s="53" t="s">
        <v>419</v>
      </c>
      <c r="AH7" s="53" t="s">
        <v>1111</v>
      </c>
      <c r="AI7" t="s">
        <v>682</v>
      </c>
      <c r="AJ7" s="53" t="s">
        <v>691</v>
      </c>
      <c r="AK7" t="s">
        <v>67</v>
      </c>
      <c r="AL7">
        <v>25.4</v>
      </c>
      <c r="AM7">
        <v>510</v>
      </c>
      <c r="AN7" t="s">
        <v>1297</v>
      </c>
    </row>
    <row r="8" spans="1:41" x14ac:dyDescent="0.25">
      <c r="A8" t="s">
        <v>179</v>
      </c>
      <c r="B8" s="53" t="s">
        <v>166</v>
      </c>
      <c r="C8" s="54" t="s">
        <v>509</v>
      </c>
      <c r="E8" s="5" t="s">
        <v>532</v>
      </c>
      <c r="H8" s="53" t="s">
        <v>179</v>
      </c>
      <c r="I8" t="s">
        <v>180</v>
      </c>
      <c r="N8" t="s">
        <v>197</v>
      </c>
      <c r="O8" t="s">
        <v>1197</v>
      </c>
      <c r="P8" t="s">
        <v>1210</v>
      </c>
      <c r="Q8" t="s">
        <v>1220</v>
      </c>
      <c r="R8" t="s">
        <v>1235</v>
      </c>
      <c r="S8" t="s">
        <v>134</v>
      </c>
      <c r="T8" t="s">
        <v>209</v>
      </c>
      <c r="U8" t="s">
        <v>46</v>
      </c>
      <c r="V8" t="s">
        <v>218</v>
      </c>
      <c r="W8" s="53" t="s">
        <v>211</v>
      </c>
      <c r="X8" s="53"/>
      <c r="Y8" t="s">
        <v>212</v>
      </c>
      <c r="Z8" t="s">
        <v>197</v>
      </c>
      <c r="AA8" t="s">
        <v>197</v>
      </c>
      <c r="AB8" s="55" t="s">
        <v>1121</v>
      </c>
      <c r="AD8" s="53" t="s">
        <v>354</v>
      </c>
      <c r="AE8" t="s">
        <v>198</v>
      </c>
      <c r="AF8" t="s">
        <v>179</v>
      </c>
      <c r="AG8" s="53" t="s">
        <v>179</v>
      </c>
      <c r="AH8" s="53" t="s">
        <v>1112</v>
      </c>
      <c r="AI8" s="53" t="s">
        <v>179</v>
      </c>
      <c r="AJ8" s="53" t="s">
        <v>689</v>
      </c>
      <c r="AK8" t="s">
        <v>206</v>
      </c>
      <c r="AL8">
        <v>28.7</v>
      </c>
      <c r="AM8">
        <v>645</v>
      </c>
      <c r="AN8" t="s">
        <v>1298</v>
      </c>
    </row>
    <row r="9" spans="1:41" x14ac:dyDescent="0.25">
      <c r="B9" s="53" t="s">
        <v>400</v>
      </c>
      <c r="C9" s="54" t="s">
        <v>501</v>
      </c>
      <c r="D9" s="53"/>
      <c r="E9" s="5" t="s">
        <v>527</v>
      </c>
      <c r="H9" s="53" t="s">
        <v>197</v>
      </c>
      <c r="I9" t="s">
        <v>179</v>
      </c>
      <c r="O9" t="s">
        <v>1198</v>
      </c>
      <c r="P9" t="s">
        <v>1211</v>
      </c>
      <c r="Q9" t="s">
        <v>1221</v>
      </c>
      <c r="R9" t="s">
        <v>1236</v>
      </c>
      <c r="S9" t="s">
        <v>250</v>
      </c>
      <c r="T9" t="s">
        <v>201</v>
      </c>
      <c r="U9" t="s">
        <v>146</v>
      </c>
      <c r="V9" t="s">
        <v>600</v>
      </c>
      <c r="W9" s="53" t="s">
        <v>273</v>
      </c>
      <c r="X9" s="53"/>
      <c r="Y9" t="s">
        <v>227</v>
      </c>
      <c r="AB9" s="55" t="s">
        <v>673</v>
      </c>
      <c r="AD9" s="53" t="s">
        <v>1103</v>
      </c>
      <c r="AE9" t="s">
        <v>164</v>
      </c>
      <c r="AH9" s="53" t="s">
        <v>1113</v>
      </c>
      <c r="AJ9" t="s">
        <v>687</v>
      </c>
      <c r="AK9" t="s">
        <v>214</v>
      </c>
      <c r="AL9">
        <v>32.299999999999997</v>
      </c>
      <c r="AM9">
        <v>819</v>
      </c>
      <c r="AN9" t="s">
        <v>1299</v>
      </c>
    </row>
    <row r="10" spans="1:41" x14ac:dyDescent="0.25">
      <c r="B10" s="55" t="s">
        <v>402</v>
      </c>
      <c r="C10" s="54" t="s">
        <v>502</v>
      </c>
      <c r="D10" s="53"/>
      <c r="E10" s="5" t="s">
        <v>531</v>
      </c>
      <c r="O10" t="s">
        <v>179</v>
      </c>
      <c r="P10" t="s">
        <v>1212</v>
      </c>
      <c r="Q10" t="s">
        <v>1222</v>
      </c>
      <c r="R10" t="s">
        <v>1237</v>
      </c>
      <c r="S10" t="s">
        <v>267</v>
      </c>
      <c r="T10" t="s">
        <v>223</v>
      </c>
      <c r="U10" t="s">
        <v>160</v>
      </c>
      <c r="V10" t="s">
        <v>622</v>
      </c>
      <c r="W10" s="53" t="s">
        <v>101</v>
      </c>
      <c r="X10" s="53"/>
      <c r="Y10" t="s">
        <v>196</v>
      </c>
      <c r="AB10" s="55" t="s">
        <v>674</v>
      </c>
      <c r="AD10" s="53" t="s">
        <v>1104</v>
      </c>
      <c r="AE10" t="s">
        <v>236</v>
      </c>
      <c r="AH10" s="53" t="s">
        <v>1114</v>
      </c>
      <c r="AJ10" t="s">
        <v>692</v>
      </c>
      <c r="AK10" t="s">
        <v>221</v>
      </c>
      <c r="AL10">
        <v>35.799999999999997</v>
      </c>
      <c r="AM10">
        <v>1006</v>
      </c>
      <c r="AN10" t="s">
        <v>197</v>
      </c>
    </row>
    <row r="11" spans="1:41" x14ac:dyDescent="0.25">
      <c r="B11" s="53" t="s">
        <v>179</v>
      </c>
      <c r="C11" s="54" t="s">
        <v>506</v>
      </c>
      <c r="D11" s="53"/>
      <c r="E11" s="5" t="s">
        <v>1187</v>
      </c>
      <c r="O11" t="s">
        <v>197</v>
      </c>
      <c r="P11" t="s">
        <v>179</v>
      </c>
      <c r="Q11" t="s">
        <v>1223</v>
      </c>
      <c r="R11" t="s">
        <v>1238</v>
      </c>
      <c r="S11" t="s">
        <v>256</v>
      </c>
      <c r="T11" t="s">
        <v>263</v>
      </c>
      <c r="U11" t="s">
        <v>170</v>
      </c>
      <c r="V11" t="s">
        <v>87</v>
      </c>
      <c r="W11" s="53" t="s">
        <v>641</v>
      </c>
      <c r="X11" s="53"/>
      <c r="Y11" t="s">
        <v>235</v>
      </c>
      <c r="AB11" s="55" t="s">
        <v>672</v>
      </c>
      <c r="AD11" s="53" t="s">
        <v>1121</v>
      </c>
      <c r="AE11" t="s">
        <v>359</v>
      </c>
      <c r="AH11" s="53" t="s">
        <v>1115</v>
      </c>
      <c r="AJ11" t="s">
        <v>693</v>
      </c>
      <c r="AK11" t="s">
        <v>229</v>
      </c>
      <c r="AL11">
        <v>43</v>
      </c>
      <c r="AM11">
        <v>1452</v>
      </c>
      <c r="AN11" t="s">
        <v>935</v>
      </c>
    </row>
    <row r="12" spans="1:41" x14ac:dyDescent="0.25">
      <c r="C12" s="54" t="s">
        <v>470</v>
      </c>
      <c r="D12" s="53"/>
      <c r="E12" s="5" t="s">
        <v>541</v>
      </c>
      <c r="P12" t="s">
        <v>197</v>
      </c>
      <c r="Q12" t="s">
        <v>1224</v>
      </c>
      <c r="R12" t="s">
        <v>1239</v>
      </c>
      <c r="S12" t="s">
        <v>262</v>
      </c>
      <c r="T12" t="s">
        <v>169</v>
      </c>
      <c r="U12" t="s">
        <v>184</v>
      </c>
      <c r="V12" t="s">
        <v>246</v>
      </c>
      <c r="W12" s="53" t="s">
        <v>632</v>
      </c>
      <c r="X12" s="53"/>
      <c r="Y12" t="s">
        <v>204</v>
      </c>
      <c r="AB12" s="55" t="s">
        <v>163</v>
      </c>
      <c r="AD12" s="53" t="s">
        <v>357</v>
      </c>
      <c r="AE12" t="s">
        <v>175</v>
      </c>
      <c r="AJ12" t="s">
        <v>696</v>
      </c>
      <c r="AK12" t="s">
        <v>237</v>
      </c>
      <c r="AL12">
        <v>57.3</v>
      </c>
      <c r="AM12">
        <v>2581</v>
      </c>
      <c r="AN12" t="s">
        <v>934</v>
      </c>
    </row>
    <row r="13" spans="1:41" x14ac:dyDescent="0.25">
      <c r="C13" s="54" t="s">
        <v>474</v>
      </c>
      <c r="D13" s="53"/>
      <c r="E13" s="5" t="s">
        <v>593</v>
      </c>
      <c r="Q13" t="s">
        <v>1225</v>
      </c>
      <c r="R13" t="s">
        <v>1240</v>
      </c>
      <c r="S13" t="s">
        <v>275</v>
      </c>
      <c r="T13" t="s">
        <v>159</v>
      </c>
      <c r="U13" t="s">
        <v>194</v>
      </c>
      <c r="V13" t="s">
        <v>349</v>
      </c>
      <c r="W13" s="53" t="s">
        <v>633</v>
      </c>
      <c r="X13" s="53"/>
      <c r="Y13" t="s">
        <v>179</v>
      </c>
      <c r="AB13" s="56" t="s">
        <v>669</v>
      </c>
      <c r="AD13" s="53" t="s">
        <v>358</v>
      </c>
      <c r="AE13" t="s">
        <v>138</v>
      </c>
      <c r="AJ13" t="s">
        <v>179</v>
      </c>
      <c r="AK13" t="s">
        <v>243</v>
      </c>
      <c r="AL13">
        <v>6</v>
      </c>
      <c r="AM13">
        <v>28</v>
      </c>
      <c r="AN13" t="s">
        <v>922</v>
      </c>
    </row>
    <row r="14" spans="1:41" x14ac:dyDescent="0.25">
      <c r="C14" s="54" t="s">
        <v>512</v>
      </c>
      <c r="D14" s="53"/>
      <c r="E14" s="5" t="s">
        <v>592</v>
      </c>
      <c r="Q14" t="s">
        <v>1226</v>
      </c>
      <c r="R14" t="s">
        <v>1241</v>
      </c>
      <c r="S14" t="s">
        <v>278</v>
      </c>
      <c r="T14" t="s">
        <v>193</v>
      </c>
      <c r="U14" t="s">
        <v>224</v>
      </c>
      <c r="V14" t="s">
        <v>345</v>
      </c>
      <c r="W14" s="53" t="s">
        <v>658</v>
      </c>
      <c r="X14" s="53"/>
      <c r="Y14" t="s">
        <v>197</v>
      </c>
      <c r="AB14" s="56" t="s">
        <v>670</v>
      </c>
      <c r="AD14" s="53" t="s">
        <v>355</v>
      </c>
      <c r="AE14" t="s">
        <v>213</v>
      </c>
      <c r="AK14" t="s">
        <v>249</v>
      </c>
      <c r="AL14">
        <v>8</v>
      </c>
      <c r="AM14">
        <v>50</v>
      </c>
      <c r="AN14" t="s">
        <v>900</v>
      </c>
    </row>
    <row r="15" spans="1:41" x14ac:dyDescent="0.25">
      <c r="C15" s="54" t="s">
        <v>505</v>
      </c>
      <c r="D15" s="53"/>
      <c r="E15" s="5" t="s">
        <v>1194</v>
      </c>
      <c r="Q15" t="s">
        <v>1227</v>
      </c>
      <c r="R15" t="s">
        <v>1242</v>
      </c>
      <c r="S15" t="s">
        <v>182</v>
      </c>
      <c r="T15" t="s">
        <v>145</v>
      </c>
      <c r="U15" t="s">
        <v>272</v>
      </c>
      <c r="V15" t="s">
        <v>609</v>
      </c>
      <c r="W15" s="53" t="s">
        <v>81</v>
      </c>
      <c r="X15" s="53"/>
      <c r="AB15" s="56" t="s">
        <v>671</v>
      </c>
      <c r="AD15" s="53" t="s">
        <v>356</v>
      </c>
      <c r="AE15" t="s">
        <v>151</v>
      </c>
      <c r="AK15" t="s">
        <v>255</v>
      </c>
      <c r="AL15">
        <v>10</v>
      </c>
      <c r="AM15">
        <v>79</v>
      </c>
      <c r="AN15" t="s">
        <v>928</v>
      </c>
    </row>
    <row r="16" spans="1:41" x14ac:dyDescent="0.25">
      <c r="C16" s="54" t="s">
        <v>492</v>
      </c>
      <c r="D16" s="53"/>
      <c r="E16" s="5" t="s">
        <v>564</v>
      </c>
      <c r="Q16" t="s">
        <v>179</v>
      </c>
      <c r="R16" t="s">
        <v>1243</v>
      </c>
      <c r="S16" t="s">
        <v>238</v>
      </c>
      <c r="T16" t="s">
        <v>183</v>
      </c>
      <c r="U16" t="s">
        <v>252</v>
      </c>
      <c r="V16" t="s">
        <v>149</v>
      </c>
      <c r="W16" s="53" t="s">
        <v>627</v>
      </c>
      <c r="X16" s="53"/>
      <c r="AB16" s="56" t="s">
        <v>663</v>
      </c>
      <c r="AD16" s="53" t="s">
        <v>343</v>
      </c>
      <c r="AE16" t="s">
        <v>179</v>
      </c>
      <c r="AK16" t="s">
        <v>261</v>
      </c>
      <c r="AL16">
        <v>12</v>
      </c>
      <c r="AM16">
        <v>113</v>
      </c>
      <c r="AN16" t="s">
        <v>717</v>
      </c>
    </row>
    <row r="17" spans="3:40" x14ac:dyDescent="0.25">
      <c r="C17" s="54" t="s">
        <v>495</v>
      </c>
      <c r="D17" s="53"/>
      <c r="E17" s="5" t="s">
        <v>591</v>
      </c>
      <c r="Q17" t="s">
        <v>197</v>
      </c>
      <c r="R17" t="s">
        <v>179</v>
      </c>
      <c r="S17" t="s">
        <v>244</v>
      </c>
      <c r="T17" t="s">
        <v>179</v>
      </c>
      <c r="U17" t="s">
        <v>202</v>
      </c>
      <c r="V17" t="s">
        <v>621</v>
      </c>
      <c r="W17" s="53" t="s">
        <v>638</v>
      </c>
      <c r="X17" s="53"/>
      <c r="AB17" s="56" t="s">
        <v>664</v>
      </c>
      <c r="AD17" s="53" t="s">
        <v>350</v>
      </c>
      <c r="AE17" t="s">
        <v>197</v>
      </c>
      <c r="AK17" t="s">
        <v>266</v>
      </c>
      <c r="AL17">
        <v>14</v>
      </c>
      <c r="AM17">
        <v>154</v>
      </c>
      <c r="AN17" t="s">
        <v>718</v>
      </c>
    </row>
    <row r="18" spans="3:40" x14ac:dyDescent="0.25">
      <c r="C18" s="54" t="s">
        <v>500</v>
      </c>
      <c r="D18" s="53"/>
      <c r="E18" s="5" t="s">
        <v>574</v>
      </c>
      <c r="R18" t="s">
        <v>197</v>
      </c>
      <c r="S18" t="s">
        <v>215</v>
      </c>
      <c r="T18" t="s">
        <v>197</v>
      </c>
      <c r="U18" t="s">
        <v>232</v>
      </c>
      <c r="V18" t="s">
        <v>1270</v>
      </c>
      <c r="W18" s="53" t="s">
        <v>651</v>
      </c>
      <c r="X18" s="53"/>
      <c r="AB18" s="56" t="s">
        <v>665</v>
      </c>
      <c r="AD18" s="53" t="s">
        <v>351</v>
      </c>
      <c r="AK18" t="s">
        <v>270</v>
      </c>
      <c r="AL18">
        <v>16</v>
      </c>
      <c r="AM18">
        <v>201</v>
      </c>
      <c r="AN18" t="s">
        <v>719</v>
      </c>
    </row>
    <row r="19" spans="3:40" x14ac:dyDescent="0.25">
      <c r="C19" s="54" t="s">
        <v>489</v>
      </c>
      <c r="D19" s="53"/>
      <c r="E19" s="5" t="s">
        <v>537</v>
      </c>
      <c r="F19" s="59"/>
      <c r="G19" s="59"/>
      <c r="S19" t="s">
        <v>192</v>
      </c>
      <c r="U19" t="s">
        <v>276</v>
      </c>
      <c r="V19" t="s">
        <v>259</v>
      </c>
      <c r="W19" s="53" t="s">
        <v>647</v>
      </c>
      <c r="X19" s="53"/>
      <c r="AB19" s="56" t="s">
        <v>666</v>
      </c>
      <c r="AD19" s="53" t="s">
        <v>344</v>
      </c>
      <c r="AK19" t="s">
        <v>274</v>
      </c>
      <c r="AL19">
        <v>20</v>
      </c>
      <c r="AM19">
        <v>314</v>
      </c>
      <c r="AN19" t="s">
        <v>91</v>
      </c>
    </row>
    <row r="20" spans="3:40" x14ac:dyDescent="0.25">
      <c r="C20" s="60" t="s">
        <v>503</v>
      </c>
      <c r="E20" s="5" t="s">
        <v>533</v>
      </c>
      <c r="S20" t="s">
        <v>222</v>
      </c>
      <c r="U20" t="s">
        <v>258</v>
      </c>
      <c r="V20" t="s">
        <v>623</v>
      </c>
      <c r="W20" s="53" t="s">
        <v>280</v>
      </c>
      <c r="X20" s="53"/>
      <c r="AB20" t="s">
        <v>667</v>
      </c>
      <c r="AD20" s="53" t="s">
        <v>1122</v>
      </c>
      <c r="AK20" t="s">
        <v>277</v>
      </c>
      <c r="AL20">
        <v>25</v>
      </c>
      <c r="AM20">
        <v>491</v>
      </c>
      <c r="AN20" t="s">
        <v>720</v>
      </c>
    </row>
    <row r="21" spans="3:40" x14ac:dyDescent="0.25">
      <c r="C21" s="54" t="s">
        <v>494</v>
      </c>
      <c r="E21" s="5" t="s">
        <v>1189</v>
      </c>
      <c r="S21" t="s">
        <v>271</v>
      </c>
      <c r="U21" t="s">
        <v>279</v>
      </c>
      <c r="V21" t="s">
        <v>618</v>
      </c>
      <c r="W21" s="53" t="s">
        <v>260</v>
      </c>
      <c r="X21" s="53"/>
      <c r="AB21" s="55" t="s">
        <v>668</v>
      </c>
      <c r="AK21" t="s">
        <v>281</v>
      </c>
      <c r="AL21">
        <v>28</v>
      </c>
      <c r="AM21">
        <v>616</v>
      </c>
      <c r="AN21" t="s">
        <v>721</v>
      </c>
    </row>
    <row r="22" spans="3:40" x14ac:dyDescent="0.25">
      <c r="C22" s="54" t="s">
        <v>498</v>
      </c>
      <c r="E22" s="5" t="s">
        <v>1188</v>
      </c>
      <c r="S22" t="s">
        <v>179</v>
      </c>
      <c r="U22" t="s">
        <v>210</v>
      </c>
      <c r="V22" t="s">
        <v>617</v>
      </c>
      <c r="W22" s="53" t="s">
        <v>648</v>
      </c>
      <c r="X22" s="53"/>
      <c r="AB22" s="56"/>
      <c r="AK22" t="s">
        <v>284</v>
      </c>
      <c r="AL22">
        <v>32</v>
      </c>
      <c r="AM22">
        <v>804</v>
      </c>
      <c r="AN22" t="s">
        <v>722</v>
      </c>
    </row>
    <row r="23" spans="3:40" x14ac:dyDescent="0.25">
      <c r="C23" s="54" t="s">
        <v>469</v>
      </c>
      <c r="E23" s="5" t="s">
        <v>597</v>
      </c>
      <c r="S23" t="s">
        <v>197</v>
      </c>
      <c r="U23" t="s">
        <v>240</v>
      </c>
      <c r="V23" t="s">
        <v>602</v>
      </c>
      <c r="W23" s="53" t="s">
        <v>630</v>
      </c>
      <c r="X23" s="53"/>
      <c r="AD23" s="53"/>
      <c r="AK23" t="s">
        <v>286</v>
      </c>
      <c r="AL23">
        <v>40</v>
      </c>
      <c r="AM23">
        <v>1257</v>
      </c>
      <c r="AN23" t="s">
        <v>723</v>
      </c>
    </row>
    <row r="24" spans="3:40" x14ac:dyDescent="0.25">
      <c r="C24" s="54" t="s">
        <v>511</v>
      </c>
      <c r="E24" s="5" t="s">
        <v>570</v>
      </c>
      <c r="U24" t="s">
        <v>264</v>
      </c>
      <c r="V24" t="s">
        <v>599</v>
      </c>
      <c r="W24" s="53" t="s">
        <v>234</v>
      </c>
      <c r="X24" s="53"/>
      <c r="AK24" t="s">
        <v>289</v>
      </c>
      <c r="AL24">
        <v>6</v>
      </c>
      <c r="AM24">
        <v>28</v>
      </c>
      <c r="AN24" t="s">
        <v>724</v>
      </c>
    </row>
    <row r="25" spans="3:40" x14ac:dyDescent="0.25">
      <c r="C25" s="54" t="s">
        <v>1078</v>
      </c>
      <c r="E25" s="5" t="s">
        <v>573</v>
      </c>
      <c r="U25" t="s">
        <v>217</v>
      </c>
      <c r="V25" t="s">
        <v>233</v>
      </c>
      <c r="W25" s="53" t="s">
        <v>226</v>
      </c>
      <c r="X25" s="53"/>
      <c r="AK25" t="s">
        <v>291</v>
      </c>
      <c r="AL25">
        <v>8</v>
      </c>
      <c r="AM25">
        <v>50</v>
      </c>
      <c r="AN25" t="s">
        <v>725</v>
      </c>
    </row>
    <row r="26" spans="3:40" x14ac:dyDescent="0.25">
      <c r="C26" s="54" t="s">
        <v>1079</v>
      </c>
      <c r="E26" s="5" t="s">
        <v>572</v>
      </c>
      <c r="U26" t="s">
        <v>245</v>
      </c>
      <c r="V26" t="s">
        <v>605</v>
      </c>
      <c r="W26" s="53" t="s">
        <v>659</v>
      </c>
      <c r="X26" s="53"/>
      <c r="AK26" t="s">
        <v>293</v>
      </c>
      <c r="AL26">
        <v>10</v>
      </c>
      <c r="AM26">
        <v>79</v>
      </c>
      <c r="AN26" t="s">
        <v>726</v>
      </c>
    </row>
    <row r="27" spans="3:40" x14ac:dyDescent="0.25">
      <c r="C27" s="54" t="s">
        <v>477</v>
      </c>
      <c r="E27" s="5" t="s">
        <v>571</v>
      </c>
      <c r="U27" t="s">
        <v>282</v>
      </c>
      <c r="V27" t="s">
        <v>88</v>
      </c>
      <c r="W27" s="55" t="s">
        <v>660</v>
      </c>
      <c r="X27" s="55"/>
      <c r="AK27" t="s">
        <v>295</v>
      </c>
      <c r="AL27">
        <v>12</v>
      </c>
      <c r="AM27">
        <v>113</v>
      </c>
      <c r="AN27" t="s">
        <v>933</v>
      </c>
    </row>
    <row r="28" spans="3:40" x14ac:dyDescent="0.25">
      <c r="C28" s="54" t="s">
        <v>491</v>
      </c>
      <c r="E28" s="5" t="s">
        <v>519</v>
      </c>
      <c r="U28" t="s">
        <v>268</v>
      </c>
      <c r="V28" t="s">
        <v>241</v>
      </c>
      <c r="W28" s="53" t="s">
        <v>82</v>
      </c>
      <c r="X28" s="53"/>
      <c r="AK28" t="s">
        <v>297</v>
      </c>
      <c r="AL28">
        <v>14</v>
      </c>
      <c r="AM28">
        <v>154</v>
      </c>
      <c r="AN28" t="s">
        <v>929</v>
      </c>
    </row>
    <row r="29" spans="3:40" x14ac:dyDescent="0.25">
      <c r="C29" s="54" t="s">
        <v>493</v>
      </c>
      <c r="E29" s="5" t="s">
        <v>521</v>
      </c>
      <c r="U29" t="s">
        <v>298</v>
      </c>
      <c r="V29" t="s">
        <v>620</v>
      </c>
      <c r="W29" s="53" t="s">
        <v>89</v>
      </c>
      <c r="X29" s="53"/>
      <c r="AK29" t="s">
        <v>299</v>
      </c>
      <c r="AL29">
        <v>16</v>
      </c>
      <c r="AM29">
        <v>201</v>
      </c>
      <c r="AN29" t="s">
        <v>930</v>
      </c>
    </row>
    <row r="30" spans="3:40" x14ac:dyDescent="0.25">
      <c r="C30" s="54" t="s">
        <v>488</v>
      </c>
      <c r="E30" s="5" t="s">
        <v>1294</v>
      </c>
      <c r="U30" t="s">
        <v>300</v>
      </c>
      <c r="V30" t="s">
        <v>1271</v>
      </c>
      <c r="W30" s="53" t="s">
        <v>654</v>
      </c>
      <c r="X30" s="53"/>
      <c r="AK30" t="s">
        <v>301</v>
      </c>
      <c r="AL30">
        <v>18</v>
      </c>
      <c r="AM30">
        <v>254</v>
      </c>
      <c r="AN30" t="s">
        <v>931</v>
      </c>
    </row>
    <row r="31" spans="3:40" x14ac:dyDescent="0.25">
      <c r="C31" s="54" t="s">
        <v>704</v>
      </c>
      <c r="E31" s="5" t="s">
        <v>1295</v>
      </c>
      <c r="U31" t="s">
        <v>302</v>
      </c>
      <c r="V31" t="s">
        <v>610</v>
      </c>
      <c r="W31" s="53" t="s">
        <v>656</v>
      </c>
      <c r="X31" s="53"/>
      <c r="AK31" t="s">
        <v>303</v>
      </c>
      <c r="AL31">
        <v>20</v>
      </c>
      <c r="AM31">
        <v>314</v>
      </c>
      <c r="AN31" t="s">
        <v>932</v>
      </c>
    </row>
    <row r="32" spans="3:40" x14ac:dyDescent="0.25">
      <c r="C32" s="54" t="s">
        <v>1080</v>
      </c>
      <c r="E32" s="5" t="s">
        <v>524</v>
      </c>
      <c r="U32" t="s">
        <v>304</v>
      </c>
      <c r="V32" t="s">
        <v>619</v>
      </c>
      <c r="W32" s="53" t="s">
        <v>283</v>
      </c>
      <c r="X32" s="53"/>
      <c r="AK32" t="s">
        <v>305</v>
      </c>
      <c r="AL32">
        <v>22</v>
      </c>
      <c r="AM32">
        <v>380</v>
      </c>
      <c r="AN32" t="s">
        <v>727</v>
      </c>
    </row>
    <row r="33" spans="3:40" x14ac:dyDescent="0.25">
      <c r="C33" s="54" t="s">
        <v>705</v>
      </c>
      <c r="E33" s="5" t="s">
        <v>518</v>
      </c>
      <c r="U33" t="s">
        <v>306</v>
      </c>
      <c r="V33" t="s">
        <v>615</v>
      </c>
      <c r="W33" s="53" t="s">
        <v>642</v>
      </c>
      <c r="X33" s="53"/>
      <c r="AK33" t="s">
        <v>307</v>
      </c>
      <c r="AL33">
        <v>25</v>
      </c>
      <c r="AM33">
        <v>491</v>
      </c>
      <c r="AN33" t="s">
        <v>728</v>
      </c>
    </row>
    <row r="34" spans="3:40" x14ac:dyDescent="0.25">
      <c r="C34" s="54" t="s">
        <v>485</v>
      </c>
      <c r="E34" s="5" t="s">
        <v>1296</v>
      </c>
      <c r="U34" t="s">
        <v>318</v>
      </c>
      <c r="V34" t="s">
        <v>608</v>
      </c>
      <c r="W34" s="53" t="s">
        <v>655</v>
      </c>
      <c r="X34" s="53"/>
      <c r="AK34" t="s">
        <v>309</v>
      </c>
      <c r="AL34">
        <v>28</v>
      </c>
      <c r="AM34">
        <v>616</v>
      </c>
      <c r="AN34" t="s">
        <v>729</v>
      </c>
    </row>
    <row r="35" spans="3:40" x14ac:dyDescent="0.25">
      <c r="C35" s="54" t="s">
        <v>483</v>
      </c>
      <c r="E35" s="5" t="s">
        <v>1192</v>
      </c>
      <c r="U35" t="s">
        <v>316</v>
      </c>
      <c r="V35" t="s">
        <v>253</v>
      </c>
      <c r="W35" s="61" t="s">
        <v>657</v>
      </c>
      <c r="X35" s="61"/>
      <c r="AK35" t="s">
        <v>311</v>
      </c>
      <c r="AL35">
        <v>32</v>
      </c>
      <c r="AM35">
        <v>804</v>
      </c>
      <c r="AN35" t="s">
        <v>730</v>
      </c>
    </row>
    <row r="36" spans="3:40" x14ac:dyDescent="0.25">
      <c r="C36" s="60" t="s">
        <v>468</v>
      </c>
      <c r="E36" s="5" t="s">
        <v>1193</v>
      </c>
      <c r="U36" t="s">
        <v>308</v>
      </c>
      <c r="V36" t="s">
        <v>607</v>
      </c>
      <c r="W36" s="62" t="s">
        <v>1118</v>
      </c>
      <c r="X36" s="53"/>
      <c r="AK36" t="s">
        <v>313</v>
      </c>
      <c r="AL36">
        <v>36</v>
      </c>
      <c r="AM36">
        <v>1018</v>
      </c>
      <c r="AN36" t="s">
        <v>731</v>
      </c>
    </row>
    <row r="37" spans="3:40" x14ac:dyDescent="0.25">
      <c r="C37" s="54" t="s">
        <v>473</v>
      </c>
      <c r="E37" s="5" t="s">
        <v>530</v>
      </c>
      <c r="U37" t="s">
        <v>310</v>
      </c>
      <c r="V37" t="s">
        <v>203</v>
      </c>
      <c r="W37" s="53" t="s">
        <v>635</v>
      </c>
      <c r="X37" s="53"/>
      <c r="AK37" t="s">
        <v>315</v>
      </c>
      <c r="AL37">
        <v>40</v>
      </c>
      <c r="AM37">
        <v>1257</v>
      </c>
      <c r="AN37" t="s">
        <v>732</v>
      </c>
    </row>
    <row r="38" spans="3:40" x14ac:dyDescent="0.25">
      <c r="C38" s="54" t="s">
        <v>486</v>
      </c>
      <c r="E38" s="5" t="s">
        <v>567</v>
      </c>
      <c r="U38" t="s">
        <v>312</v>
      </c>
      <c r="V38" t="s">
        <v>703</v>
      </c>
      <c r="W38" s="53" t="s">
        <v>640</v>
      </c>
      <c r="X38" s="53"/>
      <c r="AK38" t="s">
        <v>317</v>
      </c>
      <c r="AL38">
        <v>6</v>
      </c>
      <c r="AM38">
        <v>32</v>
      </c>
      <c r="AN38" t="s">
        <v>733</v>
      </c>
    </row>
    <row r="39" spans="3:40" x14ac:dyDescent="0.25">
      <c r="C39" s="54" t="s">
        <v>508</v>
      </c>
      <c r="E39" s="5" t="s">
        <v>528</v>
      </c>
      <c r="U39" t="s">
        <v>314</v>
      </c>
      <c r="V39" t="s">
        <v>612</v>
      </c>
      <c r="W39" s="53" t="s">
        <v>652</v>
      </c>
      <c r="X39" s="53"/>
      <c r="AK39" t="s">
        <v>319</v>
      </c>
      <c r="AL39">
        <v>10</v>
      </c>
      <c r="AM39">
        <v>71</v>
      </c>
      <c r="AN39" t="s">
        <v>734</v>
      </c>
    </row>
    <row r="40" spans="3:40" x14ac:dyDescent="0.25">
      <c r="C40" s="54" t="s">
        <v>1081</v>
      </c>
      <c r="E40" s="5" t="s">
        <v>568</v>
      </c>
      <c r="U40" t="s">
        <v>179</v>
      </c>
      <c r="V40" t="s">
        <v>613</v>
      </c>
      <c r="W40" s="53" t="s">
        <v>625</v>
      </c>
      <c r="X40" s="53"/>
      <c r="AK40" t="s">
        <v>320</v>
      </c>
      <c r="AL40">
        <v>13</v>
      </c>
      <c r="AM40">
        <v>127</v>
      </c>
      <c r="AN40" t="s">
        <v>735</v>
      </c>
    </row>
    <row r="41" spans="3:40" x14ac:dyDescent="0.25">
      <c r="C41" s="54" t="s">
        <v>1082</v>
      </c>
      <c r="E41" s="5" t="s">
        <v>529</v>
      </c>
      <c r="F41" s="63"/>
      <c r="G41" s="63"/>
      <c r="U41" t="s">
        <v>197</v>
      </c>
      <c r="V41" t="s">
        <v>79</v>
      </c>
      <c r="W41" s="53" t="s">
        <v>646</v>
      </c>
      <c r="X41" s="53"/>
      <c r="AK41" t="s">
        <v>321</v>
      </c>
      <c r="AL41">
        <v>16</v>
      </c>
      <c r="AM41">
        <v>199</v>
      </c>
      <c r="AN41" t="s">
        <v>736</v>
      </c>
    </row>
    <row r="42" spans="3:40" x14ac:dyDescent="0.25">
      <c r="C42" s="54" t="s">
        <v>1083</v>
      </c>
      <c r="E42" s="5" t="s">
        <v>525</v>
      </c>
      <c r="V42" t="s">
        <v>80</v>
      </c>
      <c r="W42" s="53" t="s">
        <v>265</v>
      </c>
      <c r="X42" s="53"/>
      <c r="AK42" t="s">
        <v>322</v>
      </c>
      <c r="AL42">
        <v>19</v>
      </c>
      <c r="AM42">
        <v>287</v>
      </c>
      <c r="AN42" t="s">
        <v>737</v>
      </c>
    </row>
    <row r="43" spans="3:40" x14ac:dyDescent="0.25">
      <c r="C43" s="54" t="s">
        <v>484</v>
      </c>
      <c r="E43" s="5" t="s">
        <v>1195</v>
      </c>
      <c r="V43" t="s">
        <v>225</v>
      </c>
      <c r="W43" s="53" t="s">
        <v>643</v>
      </c>
      <c r="X43" s="53"/>
      <c r="AK43" t="s">
        <v>323</v>
      </c>
      <c r="AL43">
        <v>22</v>
      </c>
      <c r="AM43">
        <v>387</v>
      </c>
      <c r="AN43" t="s">
        <v>738</v>
      </c>
    </row>
    <row r="44" spans="3:40" x14ac:dyDescent="0.25">
      <c r="C44" s="54" t="s">
        <v>487</v>
      </c>
      <c r="E44" s="5" t="s">
        <v>582</v>
      </c>
      <c r="V44" t="s">
        <v>598</v>
      </c>
      <c r="W44" s="53" t="s">
        <v>645</v>
      </c>
      <c r="X44" s="53"/>
      <c r="AK44" t="s">
        <v>324</v>
      </c>
      <c r="AL44">
        <v>25</v>
      </c>
      <c r="AM44">
        <v>507</v>
      </c>
      <c r="AN44" t="s">
        <v>1300</v>
      </c>
    </row>
    <row r="45" spans="3:40" x14ac:dyDescent="0.25">
      <c r="C45" s="54" t="s">
        <v>1084</v>
      </c>
      <c r="E45" s="5" t="s">
        <v>581</v>
      </c>
      <c r="V45" t="s">
        <v>1269</v>
      </c>
      <c r="W45" s="53" t="s">
        <v>636</v>
      </c>
      <c r="X45" s="53"/>
      <c r="AK45" t="s">
        <v>325</v>
      </c>
      <c r="AL45">
        <v>29</v>
      </c>
      <c r="AM45">
        <v>642</v>
      </c>
      <c r="AN45" t="s">
        <v>1301</v>
      </c>
    </row>
    <row r="46" spans="3:40" x14ac:dyDescent="0.25">
      <c r="C46" s="54" t="s">
        <v>706</v>
      </c>
      <c r="E46" s="5" t="s">
        <v>580</v>
      </c>
      <c r="V46" t="s">
        <v>604</v>
      </c>
      <c r="W46" s="53" t="s">
        <v>626</v>
      </c>
      <c r="X46" s="53"/>
      <c r="AK46" t="s">
        <v>326</v>
      </c>
      <c r="AL46">
        <v>32</v>
      </c>
      <c r="AM46">
        <v>794</v>
      </c>
      <c r="AN46" t="s">
        <v>1302</v>
      </c>
    </row>
    <row r="47" spans="3:40" x14ac:dyDescent="0.25">
      <c r="C47" s="54" t="s">
        <v>707</v>
      </c>
      <c r="E47" t="s">
        <v>546</v>
      </c>
      <c r="V47" t="s">
        <v>603</v>
      </c>
      <c r="W47" s="53" t="s">
        <v>288</v>
      </c>
      <c r="X47" s="53"/>
      <c r="AK47" t="s">
        <v>327</v>
      </c>
      <c r="AL47">
        <v>35</v>
      </c>
      <c r="AM47">
        <v>957</v>
      </c>
      <c r="AN47" t="s">
        <v>1303</v>
      </c>
    </row>
    <row r="48" spans="3:40" x14ac:dyDescent="0.25">
      <c r="C48" s="54" t="s">
        <v>1085</v>
      </c>
      <c r="E48" t="s">
        <v>559</v>
      </c>
      <c r="V48" t="s">
        <v>94</v>
      </c>
      <c r="W48" s="53" t="s">
        <v>653</v>
      </c>
      <c r="X48" s="53"/>
      <c r="AK48" t="s">
        <v>328</v>
      </c>
      <c r="AL48">
        <v>38</v>
      </c>
      <c r="AM48">
        <v>1140</v>
      </c>
      <c r="AN48" t="s">
        <v>739</v>
      </c>
    </row>
    <row r="49" spans="3:40" x14ac:dyDescent="0.25">
      <c r="C49" s="54" t="s">
        <v>479</v>
      </c>
      <c r="E49" t="s">
        <v>561</v>
      </c>
      <c r="V49" t="s">
        <v>606</v>
      </c>
      <c r="W49" s="53" t="s">
        <v>637</v>
      </c>
      <c r="X49" s="53"/>
      <c r="AK49" t="s">
        <v>329</v>
      </c>
      <c r="AL49">
        <v>41</v>
      </c>
      <c r="AM49">
        <v>1340</v>
      </c>
      <c r="AN49" t="s">
        <v>740</v>
      </c>
    </row>
    <row r="50" spans="3:40" x14ac:dyDescent="0.25">
      <c r="C50" s="54" t="s">
        <v>467</v>
      </c>
      <c r="E50" t="s">
        <v>560</v>
      </c>
      <c r="V50" t="s">
        <v>6</v>
      </c>
      <c r="W50" s="53" t="s">
        <v>639</v>
      </c>
      <c r="X50" s="53"/>
      <c r="AK50" t="s">
        <v>179</v>
      </c>
      <c r="AN50" t="s">
        <v>741</v>
      </c>
    </row>
    <row r="51" spans="3:40" x14ac:dyDescent="0.25">
      <c r="C51" s="54" t="s">
        <v>496</v>
      </c>
      <c r="E51" t="s">
        <v>558</v>
      </c>
      <c r="V51" t="s">
        <v>611</v>
      </c>
      <c r="W51" s="55" t="s">
        <v>195</v>
      </c>
      <c r="X51" s="55"/>
      <c r="AN51" t="s">
        <v>742</v>
      </c>
    </row>
    <row r="52" spans="3:40" x14ac:dyDescent="0.25">
      <c r="C52" s="54" t="s">
        <v>510</v>
      </c>
      <c r="E52" t="s">
        <v>545</v>
      </c>
      <c r="V52" t="s">
        <v>179</v>
      </c>
      <c r="W52" s="55" t="s">
        <v>629</v>
      </c>
      <c r="X52" s="55"/>
      <c r="AN52" t="s">
        <v>743</v>
      </c>
    </row>
    <row r="53" spans="3:40" x14ac:dyDescent="0.25">
      <c r="C53" s="54" t="s">
        <v>1086</v>
      </c>
      <c r="E53" t="s">
        <v>544</v>
      </c>
      <c r="W53" s="64" t="s">
        <v>254</v>
      </c>
      <c r="X53" s="64"/>
      <c r="AN53" t="s">
        <v>744</v>
      </c>
    </row>
    <row r="54" spans="3:40" x14ac:dyDescent="0.25">
      <c r="C54" s="54" t="s">
        <v>480</v>
      </c>
      <c r="E54" t="s">
        <v>552</v>
      </c>
      <c r="W54" s="64" t="s">
        <v>247</v>
      </c>
      <c r="X54" s="64"/>
      <c r="AN54" t="s">
        <v>745</v>
      </c>
    </row>
    <row r="55" spans="3:40" x14ac:dyDescent="0.25">
      <c r="C55" s="60" t="s">
        <v>504</v>
      </c>
      <c r="E55" t="s">
        <v>549</v>
      </c>
      <c r="W55" s="55" t="s">
        <v>649</v>
      </c>
      <c r="X55" s="55"/>
      <c r="AN55" t="s">
        <v>746</v>
      </c>
    </row>
    <row r="56" spans="3:40" x14ac:dyDescent="0.25">
      <c r="C56" s="65" t="s">
        <v>1087</v>
      </c>
      <c r="E56" t="s">
        <v>547</v>
      </c>
      <c r="W56" s="55" t="s">
        <v>197</v>
      </c>
      <c r="X56" s="55"/>
      <c r="AN56" t="s">
        <v>747</v>
      </c>
    </row>
    <row r="57" spans="3:40" x14ac:dyDescent="0.25">
      <c r="C57" s="65" t="s">
        <v>476</v>
      </c>
      <c r="E57" t="s">
        <v>516</v>
      </c>
      <c r="W57" s="55" t="s">
        <v>634</v>
      </c>
      <c r="X57" s="55"/>
      <c r="AN57" t="s">
        <v>748</v>
      </c>
    </row>
    <row r="58" spans="3:40" x14ac:dyDescent="0.25">
      <c r="C58" s="54" t="s">
        <v>514</v>
      </c>
      <c r="E58" t="s">
        <v>542</v>
      </c>
      <c r="W58" s="55" t="s">
        <v>644</v>
      </c>
      <c r="X58" s="55"/>
      <c r="AN58" t="s">
        <v>749</v>
      </c>
    </row>
    <row r="59" spans="3:40" x14ac:dyDescent="0.25">
      <c r="C59" s="54" t="s">
        <v>472</v>
      </c>
      <c r="E59" t="s">
        <v>551</v>
      </c>
      <c r="W59" s="55" t="s">
        <v>650</v>
      </c>
      <c r="X59" s="55"/>
      <c r="AN59" t="s">
        <v>750</v>
      </c>
    </row>
    <row r="60" spans="3:40" x14ac:dyDescent="0.25">
      <c r="C60" s="54" t="s">
        <v>475</v>
      </c>
      <c r="E60" t="s">
        <v>523</v>
      </c>
      <c r="W60" s="55" t="s">
        <v>179</v>
      </c>
      <c r="X60" s="55"/>
      <c r="AN60" t="s">
        <v>4</v>
      </c>
    </row>
    <row r="61" spans="3:40" x14ac:dyDescent="0.25">
      <c r="C61" s="54" t="s">
        <v>482</v>
      </c>
      <c r="E61" t="s">
        <v>555</v>
      </c>
      <c r="AN61" t="s">
        <v>936</v>
      </c>
    </row>
    <row r="62" spans="3:40" x14ac:dyDescent="0.25">
      <c r="C62" s="54" t="s">
        <v>478</v>
      </c>
      <c r="E62" t="s">
        <v>557</v>
      </c>
      <c r="AN62" t="s">
        <v>937</v>
      </c>
    </row>
    <row r="63" spans="3:40" x14ac:dyDescent="0.25">
      <c r="C63" s="54" t="s">
        <v>1383</v>
      </c>
      <c r="E63" t="s">
        <v>543</v>
      </c>
      <c r="AN63" t="s">
        <v>938</v>
      </c>
    </row>
    <row r="64" spans="3:40" x14ac:dyDescent="0.25">
      <c r="C64" s="54" t="s">
        <v>1088</v>
      </c>
      <c r="E64" t="s">
        <v>554</v>
      </c>
      <c r="AN64" t="s">
        <v>939</v>
      </c>
    </row>
    <row r="65" spans="3:40" x14ac:dyDescent="0.25">
      <c r="C65" s="54" t="s">
        <v>490</v>
      </c>
      <c r="E65" t="s">
        <v>548</v>
      </c>
      <c r="AN65" t="s">
        <v>751</v>
      </c>
    </row>
    <row r="66" spans="3:40" x14ac:dyDescent="0.25">
      <c r="C66" s="54" t="s">
        <v>1089</v>
      </c>
      <c r="E66" t="s">
        <v>550</v>
      </c>
      <c r="AN66" t="s">
        <v>752</v>
      </c>
    </row>
    <row r="67" spans="3:40" x14ac:dyDescent="0.25">
      <c r="C67" s="54" t="s">
        <v>471</v>
      </c>
      <c r="E67" t="s">
        <v>563</v>
      </c>
      <c r="AN67" t="s">
        <v>753</v>
      </c>
    </row>
    <row r="68" spans="3:40" x14ac:dyDescent="0.25">
      <c r="C68" s="54" t="s">
        <v>481</v>
      </c>
      <c r="E68" t="s">
        <v>562</v>
      </c>
      <c r="AN68" t="s">
        <v>754</v>
      </c>
    </row>
    <row r="69" spans="3:40" x14ac:dyDescent="0.25">
      <c r="C69" s="54" t="s">
        <v>1124</v>
      </c>
      <c r="E69" t="s">
        <v>1190</v>
      </c>
      <c r="AN69" t="s">
        <v>755</v>
      </c>
    </row>
    <row r="70" spans="3:40" x14ac:dyDescent="0.25">
      <c r="C70" s="54" t="s">
        <v>1125</v>
      </c>
      <c r="E70" t="s">
        <v>520</v>
      </c>
      <c r="AN70" t="s">
        <v>756</v>
      </c>
    </row>
    <row r="71" spans="3:40" x14ac:dyDescent="0.25">
      <c r="C71" s="54" t="s">
        <v>1126</v>
      </c>
      <c r="E71" t="s">
        <v>589</v>
      </c>
      <c r="AN71" t="s">
        <v>757</v>
      </c>
    </row>
    <row r="72" spans="3:40" x14ac:dyDescent="0.25">
      <c r="C72" s="54" t="s">
        <v>1127</v>
      </c>
      <c r="E72" t="s">
        <v>565</v>
      </c>
      <c r="AN72" t="s">
        <v>758</v>
      </c>
    </row>
    <row r="73" spans="3:40" x14ac:dyDescent="0.25">
      <c r="C73" s="54" t="s">
        <v>1128</v>
      </c>
      <c r="E73" t="s">
        <v>553</v>
      </c>
      <c r="AN73" t="s">
        <v>759</v>
      </c>
    </row>
    <row r="74" spans="3:40" x14ac:dyDescent="0.25">
      <c r="C74" s="54" t="s">
        <v>1129</v>
      </c>
      <c r="E74" t="s">
        <v>588</v>
      </c>
      <c r="AN74" t="s">
        <v>760</v>
      </c>
    </row>
    <row r="75" spans="3:40" x14ac:dyDescent="0.25">
      <c r="C75" s="54" t="s">
        <v>1130</v>
      </c>
      <c r="E75" t="s">
        <v>556</v>
      </c>
      <c r="AN75" t="s">
        <v>761</v>
      </c>
    </row>
    <row r="76" spans="3:40" x14ac:dyDescent="0.25">
      <c r="C76" s="54" t="s">
        <v>1131</v>
      </c>
      <c r="E76" t="s">
        <v>1191</v>
      </c>
      <c r="AN76" t="s">
        <v>762</v>
      </c>
    </row>
    <row r="77" spans="3:40" x14ac:dyDescent="0.25">
      <c r="C77" s="54" t="s">
        <v>1132</v>
      </c>
      <c r="E77" t="s">
        <v>517</v>
      </c>
      <c r="AN77" t="s">
        <v>1304</v>
      </c>
    </row>
    <row r="78" spans="3:40" x14ac:dyDescent="0.25">
      <c r="C78" s="54" t="s">
        <v>1133</v>
      </c>
      <c r="E78" t="s">
        <v>569</v>
      </c>
      <c r="AN78" t="s">
        <v>1305</v>
      </c>
    </row>
    <row r="79" spans="3:40" x14ac:dyDescent="0.25">
      <c r="C79" s="54" t="s">
        <v>1134</v>
      </c>
      <c r="E79" t="s">
        <v>566</v>
      </c>
      <c r="AN79" t="s">
        <v>1306</v>
      </c>
    </row>
    <row r="80" spans="3:40" x14ac:dyDescent="0.25">
      <c r="C80" s="54" t="s">
        <v>1135</v>
      </c>
      <c r="E80" t="s">
        <v>515</v>
      </c>
      <c r="AN80" t="s">
        <v>763</v>
      </c>
    </row>
    <row r="81" spans="3:40" x14ac:dyDescent="0.25">
      <c r="C81" s="54" t="s">
        <v>1136</v>
      </c>
      <c r="E81" t="s">
        <v>522</v>
      </c>
      <c r="AN81" t="s">
        <v>764</v>
      </c>
    </row>
    <row r="82" spans="3:40" x14ac:dyDescent="0.25">
      <c r="C82" s="54" t="s">
        <v>1137</v>
      </c>
      <c r="E82" t="s">
        <v>536</v>
      </c>
      <c r="AN82" t="s">
        <v>92</v>
      </c>
    </row>
    <row r="83" spans="3:40" x14ac:dyDescent="0.25">
      <c r="C83" s="54" t="s">
        <v>1138</v>
      </c>
      <c r="E83" t="s">
        <v>585</v>
      </c>
      <c r="AN83" t="s">
        <v>765</v>
      </c>
    </row>
    <row r="84" spans="3:40" x14ac:dyDescent="0.25">
      <c r="C84" s="54" t="s">
        <v>1139</v>
      </c>
      <c r="E84" t="s">
        <v>583</v>
      </c>
      <c r="AN84" t="s">
        <v>766</v>
      </c>
    </row>
    <row r="85" spans="3:40" x14ac:dyDescent="0.25">
      <c r="C85" s="54" t="s">
        <v>1140</v>
      </c>
      <c r="E85" t="s">
        <v>584</v>
      </c>
      <c r="AN85" t="s">
        <v>767</v>
      </c>
    </row>
    <row r="86" spans="3:40" x14ac:dyDescent="0.25">
      <c r="C86" s="54" t="s">
        <v>1141</v>
      </c>
      <c r="E86" t="s">
        <v>586</v>
      </c>
      <c r="AN86" t="s">
        <v>768</v>
      </c>
    </row>
    <row r="87" spans="3:40" x14ac:dyDescent="0.25">
      <c r="C87" s="54" t="s">
        <v>1142</v>
      </c>
      <c r="E87" t="s">
        <v>577</v>
      </c>
      <c r="AN87" t="s">
        <v>769</v>
      </c>
    </row>
    <row r="88" spans="3:40" x14ac:dyDescent="0.25">
      <c r="C88" s="54" t="s">
        <v>1143</v>
      </c>
      <c r="E88" t="s">
        <v>576</v>
      </c>
      <c r="AN88" t="s">
        <v>894</v>
      </c>
    </row>
    <row r="89" spans="3:40" x14ac:dyDescent="0.25">
      <c r="C89" s="54" t="s">
        <v>1144</v>
      </c>
      <c r="E89" t="s">
        <v>575</v>
      </c>
      <c r="AN89" t="s">
        <v>770</v>
      </c>
    </row>
    <row r="90" spans="3:40" x14ac:dyDescent="0.25">
      <c r="C90" s="54" t="s">
        <v>1145</v>
      </c>
      <c r="E90" t="s">
        <v>587</v>
      </c>
      <c r="AN90" t="s">
        <v>771</v>
      </c>
    </row>
    <row r="91" spans="3:40" x14ac:dyDescent="0.25">
      <c r="C91" s="54" t="s">
        <v>1146</v>
      </c>
      <c r="E91" t="s">
        <v>595</v>
      </c>
      <c r="AN91" t="s">
        <v>772</v>
      </c>
    </row>
    <row r="92" spans="3:40" x14ac:dyDescent="0.25">
      <c r="C92" s="54" t="s">
        <v>1147</v>
      </c>
      <c r="E92" t="s">
        <v>539</v>
      </c>
      <c r="AN92" t="s">
        <v>773</v>
      </c>
    </row>
    <row r="93" spans="3:40" x14ac:dyDescent="0.25">
      <c r="C93" s="54" t="s">
        <v>1148</v>
      </c>
      <c r="E93" t="s">
        <v>538</v>
      </c>
      <c r="AN93" t="s">
        <v>1307</v>
      </c>
    </row>
    <row r="94" spans="3:40" x14ac:dyDescent="0.25">
      <c r="C94" s="54" t="s">
        <v>1149</v>
      </c>
      <c r="E94" t="s">
        <v>540</v>
      </c>
      <c r="AN94" t="s">
        <v>1308</v>
      </c>
    </row>
    <row r="95" spans="3:40" x14ac:dyDescent="0.25">
      <c r="C95" s="54" t="s">
        <v>1150</v>
      </c>
      <c r="E95" t="s">
        <v>594</v>
      </c>
      <c r="AN95" t="s">
        <v>1309</v>
      </c>
    </row>
    <row r="96" spans="3:40" x14ac:dyDescent="0.25">
      <c r="C96" s="54" t="s">
        <v>1151</v>
      </c>
      <c r="E96" t="s">
        <v>596</v>
      </c>
      <c r="AN96" t="s">
        <v>1310</v>
      </c>
    </row>
    <row r="97" spans="3:40" x14ac:dyDescent="0.25">
      <c r="C97" s="54" t="s">
        <v>1152</v>
      </c>
      <c r="E97" t="s">
        <v>179</v>
      </c>
      <c r="AN97" t="s">
        <v>1311</v>
      </c>
    </row>
    <row r="98" spans="3:40" x14ac:dyDescent="0.25">
      <c r="C98" s="54" t="s">
        <v>1153</v>
      </c>
      <c r="AN98" t="s">
        <v>1312</v>
      </c>
    </row>
    <row r="99" spans="3:40" x14ac:dyDescent="0.25">
      <c r="C99" s="54" t="s">
        <v>1154</v>
      </c>
      <c r="AN99" t="s">
        <v>774</v>
      </c>
    </row>
    <row r="100" spans="3:40" x14ac:dyDescent="0.25">
      <c r="C100" s="54" t="s">
        <v>1155</v>
      </c>
      <c r="AN100" t="s">
        <v>775</v>
      </c>
    </row>
    <row r="101" spans="3:40" x14ac:dyDescent="0.25">
      <c r="C101" s="54" t="s">
        <v>1156</v>
      </c>
      <c r="AN101" t="s">
        <v>85</v>
      </c>
    </row>
    <row r="102" spans="3:40" x14ac:dyDescent="0.25">
      <c r="C102" s="54" t="s">
        <v>1157</v>
      </c>
      <c r="AN102" t="s">
        <v>776</v>
      </c>
    </row>
    <row r="103" spans="3:40" x14ac:dyDescent="0.25">
      <c r="C103" s="54" t="s">
        <v>1158</v>
      </c>
      <c r="AN103" t="s">
        <v>777</v>
      </c>
    </row>
    <row r="104" spans="3:40" x14ac:dyDescent="0.25">
      <c r="C104" s="54" t="s">
        <v>1159</v>
      </c>
      <c r="AN104" t="s">
        <v>778</v>
      </c>
    </row>
    <row r="105" spans="3:40" x14ac:dyDescent="0.25">
      <c r="C105" s="54" t="s">
        <v>1160</v>
      </c>
      <c r="AN105" t="s">
        <v>779</v>
      </c>
    </row>
    <row r="106" spans="3:40" x14ac:dyDescent="0.25">
      <c r="C106" s="54" t="s">
        <v>1161</v>
      </c>
      <c r="AN106" t="s">
        <v>780</v>
      </c>
    </row>
    <row r="107" spans="3:40" x14ac:dyDescent="0.25">
      <c r="C107" s="54" t="s">
        <v>1162</v>
      </c>
      <c r="AN107" t="s">
        <v>1313</v>
      </c>
    </row>
    <row r="108" spans="3:40" x14ac:dyDescent="0.25">
      <c r="C108" s="54" t="s">
        <v>1163</v>
      </c>
      <c r="AN108" t="s">
        <v>1314</v>
      </c>
    </row>
    <row r="109" spans="3:40" x14ac:dyDescent="0.25">
      <c r="C109" s="54" t="s">
        <v>1164</v>
      </c>
      <c r="AN109" t="s">
        <v>1315</v>
      </c>
    </row>
    <row r="110" spans="3:40" x14ac:dyDescent="0.25">
      <c r="C110" s="54" t="s">
        <v>1165</v>
      </c>
      <c r="AN110" t="s">
        <v>1316</v>
      </c>
    </row>
    <row r="111" spans="3:40" x14ac:dyDescent="0.25">
      <c r="C111" s="65" t="s">
        <v>1166</v>
      </c>
      <c r="AN111" t="s">
        <v>1317</v>
      </c>
    </row>
    <row r="112" spans="3:40" x14ac:dyDescent="0.25">
      <c r="C112" s="65" t="s">
        <v>1167</v>
      </c>
      <c r="AN112" t="s">
        <v>898</v>
      </c>
    </row>
    <row r="113" spans="3:40" x14ac:dyDescent="0.25">
      <c r="C113" s="54" t="s">
        <v>1168</v>
      </c>
      <c r="AN113" t="s">
        <v>899</v>
      </c>
    </row>
    <row r="114" spans="3:40" x14ac:dyDescent="0.25">
      <c r="C114" s="54" t="s">
        <v>1169</v>
      </c>
      <c r="AN114" t="s">
        <v>1318</v>
      </c>
    </row>
    <row r="115" spans="3:40" x14ac:dyDescent="0.25">
      <c r="C115" s="54" t="s">
        <v>1170</v>
      </c>
      <c r="AN115" t="s">
        <v>1319</v>
      </c>
    </row>
    <row r="116" spans="3:40" x14ac:dyDescent="0.25">
      <c r="C116" s="54" t="s">
        <v>1171</v>
      </c>
      <c r="AN116" t="s">
        <v>1320</v>
      </c>
    </row>
    <row r="117" spans="3:40" x14ac:dyDescent="0.25">
      <c r="C117" s="54" t="s">
        <v>1172</v>
      </c>
      <c r="AN117" t="s">
        <v>1321</v>
      </c>
    </row>
    <row r="118" spans="3:40" x14ac:dyDescent="0.25">
      <c r="C118" s="54" t="s">
        <v>1173</v>
      </c>
      <c r="AN118" t="s">
        <v>781</v>
      </c>
    </row>
    <row r="119" spans="3:40" x14ac:dyDescent="0.25">
      <c r="C119" s="54" t="s">
        <v>1174</v>
      </c>
      <c r="AN119" t="s">
        <v>782</v>
      </c>
    </row>
    <row r="120" spans="3:40" x14ac:dyDescent="0.25">
      <c r="C120" s="66" t="s">
        <v>1175</v>
      </c>
      <c r="AN120" t="s">
        <v>783</v>
      </c>
    </row>
    <row r="121" spans="3:40" x14ac:dyDescent="0.25">
      <c r="C121" s="66" t="s">
        <v>1176</v>
      </c>
      <c r="AN121" t="s">
        <v>1322</v>
      </c>
    </row>
    <row r="122" spans="3:40" x14ac:dyDescent="0.25">
      <c r="C122" s="54" t="s">
        <v>1177</v>
      </c>
      <c r="AN122" t="s">
        <v>1323</v>
      </c>
    </row>
    <row r="123" spans="3:40" x14ac:dyDescent="0.25">
      <c r="C123" s="54" t="s">
        <v>1178</v>
      </c>
      <c r="AN123" t="s">
        <v>889</v>
      </c>
    </row>
    <row r="124" spans="3:40" x14ac:dyDescent="0.25">
      <c r="C124" s="54" t="s">
        <v>1179</v>
      </c>
      <c r="AN124" t="s">
        <v>890</v>
      </c>
    </row>
    <row r="125" spans="3:40" x14ac:dyDescent="0.25">
      <c r="C125" s="54" t="s">
        <v>1180</v>
      </c>
      <c r="AN125" t="s">
        <v>893</v>
      </c>
    </row>
    <row r="126" spans="3:40" x14ac:dyDescent="0.25">
      <c r="C126" s="54" t="s">
        <v>1181</v>
      </c>
      <c r="AN126" t="s">
        <v>831</v>
      </c>
    </row>
    <row r="127" spans="3:40" x14ac:dyDescent="0.25">
      <c r="C127" s="66" t="s">
        <v>1182</v>
      </c>
      <c r="AN127" t="s">
        <v>913</v>
      </c>
    </row>
    <row r="128" spans="3:40" x14ac:dyDescent="0.25">
      <c r="C128" s="66" t="s">
        <v>1183</v>
      </c>
      <c r="AN128" t="s">
        <v>784</v>
      </c>
    </row>
    <row r="129" spans="3:40" x14ac:dyDescent="0.25">
      <c r="C129" s="66" t="s">
        <v>1184</v>
      </c>
      <c r="AN129" t="s">
        <v>785</v>
      </c>
    </row>
    <row r="130" spans="3:40" x14ac:dyDescent="0.25">
      <c r="C130" s="54" t="s">
        <v>1185</v>
      </c>
      <c r="AN130" t="s">
        <v>786</v>
      </c>
    </row>
    <row r="131" spans="3:40" x14ac:dyDescent="0.25">
      <c r="C131" t="s">
        <v>1186</v>
      </c>
      <c r="AN131" t="s">
        <v>923</v>
      </c>
    </row>
    <row r="132" spans="3:40" x14ac:dyDescent="0.25">
      <c r="AN132" t="s">
        <v>787</v>
      </c>
    </row>
    <row r="133" spans="3:40" x14ac:dyDescent="0.25">
      <c r="AN133" t="s">
        <v>788</v>
      </c>
    </row>
    <row r="134" spans="3:40" x14ac:dyDescent="0.25">
      <c r="AN134" t="s">
        <v>789</v>
      </c>
    </row>
    <row r="135" spans="3:40" x14ac:dyDescent="0.25">
      <c r="AN135" t="s">
        <v>924</v>
      </c>
    </row>
    <row r="136" spans="3:40" x14ac:dyDescent="0.25">
      <c r="AN136" t="s">
        <v>790</v>
      </c>
    </row>
    <row r="137" spans="3:40" x14ac:dyDescent="0.25">
      <c r="AN137" t="s">
        <v>791</v>
      </c>
    </row>
    <row r="138" spans="3:40" x14ac:dyDescent="0.25">
      <c r="AN138" t="s">
        <v>792</v>
      </c>
    </row>
    <row r="139" spans="3:40" x14ac:dyDescent="0.25">
      <c r="AN139" t="s">
        <v>793</v>
      </c>
    </row>
    <row r="140" spans="3:40" x14ac:dyDescent="0.25">
      <c r="AN140" t="s">
        <v>794</v>
      </c>
    </row>
    <row r="141" spans="3:40" x14ac:dyDescent="0.25">
      <c r="AN141" t="s">
        <v>795</v>
      </c>
    </row>
    <row r="142" spans="3:40" x14ac:dyDescent="0.25">
      <c r="AN142" t="s">
        <v>796</v>
      </c>
    </row>
    <row r="143" spans="3:40" x14ac:dyDescent="0.25">
      <c r="AN143" t="s">
        <v>797</v>
      </c>
    </row>
    <row r="144" spans="3:40" x14ac:dyDescent="0.25">
      <c r="AN144" t="s">
        <v>1324</v>
      </c>
    </row>
    <row r="145" spans="40:40" x14ac:dyDescent="0.25">
      <c r="AN145" t="s">
        <v>1325</v>
      </c>
    </row>
    <row r="146" spans="40:40" x14ac:dyDescent="0.25">
      <c r="AN146" t="s">
        <v>1326</v>
      </c>
    </row>
    <row r="147" spans="40:40" x14ac:dyDescent="0.25">
      <c r="AN147" t="s">
        <v>798</v>
      </c>
    </row>
    <row r="148" spans="40:40" x14ac:dyDescent="0.25">
      <c r="AN148" t="s">
        <v>799</v>
      </c>
    </row>
    <row r="149" spans="40:40" x14ac:dyDescent="0.25">
      <c r="AN149" t="s">
        <v>800</v>
      </c>
    </row>
    <row r="150" spans="40:40" x14ac:dyDescent="0.25">
      <c r="AN150" t="s">
        <v>801</v>
      </c>
    </row>
    <row r="151" spans="40:40" x14ac:dyDescent="0.25">
      <c r="AN151" t="s">
        <v>802</v>
      </c>
    </row>
    <row r="152" spans="40:40" x14ac:dyDescent="0.25">
      <c r="AN152" t="s">
        <v>803</v>
      </c>
    </row>
    <row r="153" spans="40:40" x14ac:dyDescent="0.25">
      <c r="AN153" t="s">
        <v>804</v>
      </c>
    </row>
    <row r="154" spans="40:40" x14ac:dyDescent="0.25">
      <c r="AN154" t="s">
        <v>1327</v>
      </c>
    </row>
    <row r="155" spans="40:40" x14ac:dyDescent="0.25">
      <c r="AN155" t="s">
        <v>1328</v>
      </c>
    </row>
    <row r="156" spans="40:40" x14ac:dyDescent="0.25">
      <c r="AN156" t="s">
        <v>879</v>
      </c>
    </row>
    <row r="157" spans="40:40" x14ac:dyDescent="0.25">
      <c r="AN157" t="s">
        <v>880</v>
      </c>
    </row>
    <row r="158" spans="40:40" x14ac:dyDescent="0.25">
      <c r="AN158" t="s">
        <v>881</v>
      </c>
    </row>
    <row r="159" spans="40:40" x14ac:dyDescent="0.25">
      <c r="AN159" t="s">
        <v>1329</v>
      </c>
    </row>
    <row r="160" spans="40:40" x14ac:dyDescent="0.25">
      <c r="AN160" t="s">
        <v>1330</v>
      </c>
    </row>
    <row r="161" spans="40:40" x14ac:dyDescent="0.25">
      <c r="AN161" t="s">
        <v>1331</v>
      </c>
    </row>
    <row r="162" spans="40:40" x14ac:dyDescent="0.25">
      <c r="AN162" t="s">
        <v>1332</v>
      </c>
    </row>
    <row r="163" spans="40:40" x14ac:dyDescent="0.25">
      <c r="AN163" t="s">
        <v>1333</v>
      </c>
    </row>
    <row r="164" spans="40:40" x14ac:dyDescent="0.25">
      <c r="AN164" t="s">
        <v>1334</v>
      </c>
    </row>
    <row r="165" spans="40:40" x14ac:dyDescent="0.25">
      <c r="AN165" t="s">
        <v>1335</v>
      </c>
    </row>
    <row r="166" spans="40:40" x14ac:dyDescent="0.25">
      <c r="AN166" t="s">
        <v>886</v>
      </c>
    </row>
    <row r="167" spans="40:40" x14ac:dyDescent="0.25">
      <c r="AN167" t="s">
        <v>887</v>
      </c>
    </row>
    <row r="168" spans="40:40" x14ac:dyDescent="0.25">
      <c r="AN168" t="s">
        <v>1336</v>
      </c>
    </row>
    <row r="169" spans="40:40" x14ac:dyDescent="0.25">
      <c r="AN169" t="s">
        <v>1337</v>
      </c>
    </row>
    <row r="170" spans="40:40" x14ac:dyDescent="0.25">
      <c r="AN170" t="s">
        <v>1338</v>
      </c>
    </row>
    <row r="171" spans="40:40" x14ac:dyDescent="0.25">
      <c r="AN171" t="s">
        <v>1339</v>
      </c>
    </row>
    <row r="172" spans="40:40" x14ac:dyDescent="0.25">
      <c r="AN172" t="s">
        <v>884</v>
      </c>
    </row>
    <row r="173" spans="40:40" x14ac:dyDescent="0.25">
      <c r="AN173" t="s">
        <v>885</v>
      </c>
    </row>
    <row r="174" spans="40:40" x14ac:dyDescent="0.25">
      <c r="AN174" t="s">
        <v>619</v>
      </c>
    </row>
    <row r="175" spans="40:40" x14ac:dyDescent="0.25">
      <c r="AN175" t="s">
        <v>805</v>
      </c>
    </row>
    <row r="176" spans="40:40" x14ac:dyDescent="0.25">
      <c r="AN176" t="s">
        <v>806</v>
      </c>
    </row>
    <row r="177" spans="40:40" x14ac:dyDescent="0.25">
      <c r="AN177" t="s">
        <v>807</v>
      </c>
    </row>
    <row r="178" spans="40:40" x14ac:dyDescent="0.25">
      <c r="AN178" t="s">
        <v>808</v>
      </c>
    </row>
    <row r="179" spans="40:40" x14ac:dyDescent="0.25">
      <c r="AN179" t="s">
        <v>919</v>
      </c>
    </row>
    <row r="180" spans="40:40" x14ac:dyDescent="0.25">
      <c r="AN180" t="s">
        <v>920</v>
      </c>
    </row>
    <row r="181" spans="40:40" x14ac:dyDescent="0.25">
      <c r="AN181" t="s">
        <v>921</v>
      </c>
    </row>
    <row r="182" spans="40:40" x14ac:dyDescent="0.25">
      <c r="AN182" t="s">
        <v>809</v>
      </c>
    </row>
    <row r="183" spans="40:40" x14ac:dyDescent="0.25">
      <c r="AN183" t="s">
        <v>810</v>
      </c>
    </row>
    <row r="184" spans="40:40" x14ac:dyDescent="0.25">
      <c r="AN184" t="s">
        <v>811</v>
      </c>
    </row>
    <row r="185" spans="40:40" x14ac:dyDescent="0.25">
      <c r="AN185" t="s">
        <v>820</v>
      </c>
    </row>
    <row r="186" spans="40:40" x14ac:dyDescent="0.25">
      <c r="AN186" t="s">
        <v>821</v>
      </c>
    </row>
    <row r="187" spans="40:40" x14ac:dyDescent="0.25">
      <c r="AN187" t="s">
        <v>914</v>
      </c>
    </row>
    <row r="188" spans="40:40" x14ac:dyDescent="0.25">
      <c r="AN188" t="s">
        <v>828</v>
      </c>
    </row>
    <row r="189" spans="40:40" x14ac:dyDescent="0.25">
      <c r="AN189" t="s">
        <v>915</v>
      </c>
    </row>
    <row r="190" spans="40:40" x14ac:dyDescent="0.25">
      <c r="AN190" t="s">
        <v>829</v>
      </c>
    </row>
    <row r="191" spans="40:40" x14ac:dyDescent="0.25">
      <c r="AN191" t="s">
        <v>830</v>
      </c>
    </row>
    <row r="192" spans="40:40" x14ac:dyDescent="0.25">
      <c r="AN192" t="s">
        <v>916</v>
      </c>
    </row>
    <row r="193" spans="40:40" x14ac:dyDescent="0.25">
      <c r="AN193" t="s">
        <v>917</v>
      </c>
    </row>
    <row r="194" spans="40:40" x14ac:dyDescent="0.25">
      <c r="AN194" t="s">
        <v>812</v>
      </c>
    </row>
    <row r="195" spans="40:40" x14ac:dyDescent="0.25">
      <c r="AN195" t="s">
        <v>813</v>
      </c>
    </row>
    <row r="196" spans="40:40" x14ac:dyDescent="0.25">
      <c r="AN196" t="s">
        <v>814</v>
      </c>
    </row>
    <row r="197" spans="40:40" x14ac:dyDescent="0.25">
      <c r="AN197" t="s">
        <v>888</v>
      </c>
    </row>
    <row r="198" spans="40:40" x14ac:dyDescent="0.25">
      <c r="AN198" t="s">
        <v>1340</v>
      </c>
    </row>
    <row r="199" spans="40:40" x14ac:dyDescent="0.25">
      <c r="AN199" t="s">
        <v>1341</v>
      </c>
    </row>
    <row r="200" spans="40:40" x14ac:dyDescent="0.25">
      <c r="AN200" t="s">
        <v>1342</v>
      </c>
    </row>
    <row r="201" spans="40:40" x14ac:dyDescent="0.25">
      <c r="AN201" t="s">
        <v>1343</v>
      </c>
    </row>
    <row r="202" spans="40:40" x14ac:dyDescent="0.25">
      <c r="AN202" t="s">
        <v>1344</v>
      </c>
    </row>
    <row r="203" spans="40:40" x14ac:dyDescent="0.25">
      <c r="AN203" t="s">
        <v>815</v>
      </c>
    </row>
    <row r="204" spans="40:40" x14ac:dyDescent="0.25">
      <c r="AN204" t="s">
        <v>816</v>
      </c>
    </row>
    <row r="205" spans="40:40" x14ac:dyDescent="0.25">
      <c r="AN205" t="s">
        <v>817</v>
      </c>
    </row>
    <row r="206" spans="40:40" x14ac:dyDescent="0.25">
      <c r="AN206" t="s">
        <v>818</v>
      </c>
    </row>
    <row r="207" spans="40:40" x14ac:dyDescent="0.25">
      <c r="AN207" t="s">
        <v>819</v>
      </c>
    </row>
    <row r="208" spans="40:40" x14ac:dyDescent="0.25">
      <c r="AN208" t="s">
        <v>822</v>
      </c>
    </row>
    <row r="209" spans="40:40" x14ac:dyDescent="0.25">
      <c r="AN209" t="s">
        <v>823</v>
      </c>
    </row>
    <row r="210" spans="40:40" x14ac:dyDescent="0.25">
      <c r="AN210" t="s">
        <v>824</v>
      </c>
    </row>
    <row r="211" spans="40:40" x14ac:dyDescent="0.25">
      <c r="AN211" t="s">
        <v>825</v>
      </c>
    </row>
    <row r="212" spans="40:40" x14ac:dyDescent="0.25">
      <c r="AN212" t="s">
        <v>918</v>
      </c>
    </row>
    <row r="213" spans="40:40" x14ac:dyDescent="0.25">
      <c r="AN213" t="s">
        <v>826</v>
      </c>
    </row>
    <row r="214" spans="40:40" x14ac:dyDescent="0.25">
      <c r="AN214" t="s">
        <v>827</v>
      </c>
    </row>
    <row r="215" spans="40:40" x14ac:dyDescent="0.25">
      <c r="AN215" t="s">
        <v>832</v>
      </c>
    </row>
    <row r="216" spans="40:40" x14ac:dyDescent="0.25">
      <c r="AN216" t="s">
        <v>833</v>
      </c>
    </row>
    <row r="217" spans="40:40" x14ac:dyDescent="0.25">
      <c r="AN217" t="s">
        <v>834</v>
      </c>
    </row>
    <row r="218" spans="40:40" x14ac:dyDescent="0.25">
      <c r="AN218" t="s">
        <v>835</v>
      </c>
    </row>
    <row r="219" spans="40:40" x14ac:dyDescent="0.25">
      <c r="AN219" t="s">
        <v>836</v>
      </c>
    </row>
    <row r="220" spans="40:40" x14ac:dyDescent="0.25">
      <c r="AN220" t="s">
        <v>837</v>
      </c>
    </row>
    <row r="221" spans="40:40" x14ac:dyDescent="0.25">
      <c r="AN221" t="s">
        <v>838</v>
      </c>
    </row>
    <row r="222" spans="40:40" x14ac:dyDescent="0.25">
      <c r="AN222" t="s">
        <v>839</v>
      </c>
    </row>
    <row r="223" spans="40:40" x14ac:dyDescent="0.25">
      <c r="AN223" t="s">
        <v>840</v>
      </c>
    </row>
    <row r="224" spans="40:40" x14ac:dyDescent="0.25">
      <c r="AN224" t="s">
        <v>841</v>
      </c>
    </row>
    <row r="225" spans="40:40" x14ac:dyDescent="0.25">
      <c r="AN225" t="s">
        <v>842</v>
      </c>
    </row>
    <row r="226" spans="40:40" x14ac:dyDescent="0.25">
      <c r="AN226" t="s">
        <v>843</v>
      </c>
    </row>
    <row r="227" spans="40:40" x14ac:dyDescent="0.25">
      <c r="AN227" t="s">
        <v>844</v>
      </c>
    </row>
    <row r="228" spans="40:40" x14ac:dyDescent="0.25">
      <c r="AN228" t="s">
        <v>845</v>
      </c>
    </row>
    <row r="229" spans="40:40" x14ac:dyDescent="0.25">
      <c r="AN229" t="s">
        <v>846</v>
      </c>
    </row>
    <row r="230" spans="40:40" x14ac:dyDescent="0.25">
      <c r="AN230" t="s">
        <v>847</v>
      </c>
    </row>
    <row r="231" spans="40:40" x14ac:dyDescent="0.25">
      <c r="AN231" t="s">
        <v>848</v>
      </c>
    </row>
    <row r="232" spans="40:40" x14ac:dyDescent="0.25">
      <c r="AN232" t="s">
        <v>849</v>
      </c>
    </row>
    <row r="233" spans="40:40" x14ac:dyDescent="0.25">
      <c r="AN233" t="s">
        <v>850</v>
      </c>
    </row>
    <row r="234" spans="40:40" x14ac:dyDescent="0.25">
      <c r="AN234" t="s">
        <v>851</v>
      </c>
    </row>
    <row r="235" spans="40:40" x14ac:dyDescent="0.25">
      <c r="AN235" t="s">
        <v>852</v>
      </c>
    </row>
    <row r="236" spans="40:40" x14ac:dyDescent="0.25">
      <c r="AN236" t="s">
        <v>853</v>
      </c>
    </row>
    <row r="237" spans="40:40" x14ac:dyDescent="0.25">
      <c r="AN237" t="s">
        <v>854</v>
      </c>
    </row>
    <row r="238" spans="40:40" x14ac:dyDescent="0.25">
      <c r="AN238" t="s">
        <v>855</v>
      </c>
    </row>
    <row r="239" spans="40:40" x14ac:dyDescent="0.25">
      <c r="AN239" t="s">
        <v>912</v>
      </c>
    </row>
    <row r="240" spans="40:40" x14ac:dyDescent="0.25">
      <c r="AN240" t="s">
        <v>856</v>
      </c>
    </row>
    <row r="241" spans="40:40" x14ac:dyDescent="0.25">
      <c r="AN241" t="s">
        <v>857</v>
      </c>
    </row>
    <row r="242" spans="40:40" x14ac:dyDescent="0.25">
      <c r="AN242" t="s">
        <v>858</v>
      </c>
    </row>
    <row r="243" spans="40:40" x14ac:dyDescent="0.25">
      <c r="AN243" t="s">
        <v>859</v>
      </c>
    </row>
    <row r="244" spans="40:40" x14ac:dyDescent="0.25">
      <c r="AN244" t="s">
        <v>860</v>
      </c>
    </row>
    <row r="245" spans="40:40" x14ac:dyDescent="0.25">
      <c r="AN245" t="s">
        <v>861</v>
      </c>
    </row>
    <row r="246" spans="40:40" x14ac:dyDescent="0.25">
      <c r="AN246" t="s">
        <v>862</v>
      </c>
    </row>
    <row r="247" spans="40:40" x14ac:dyDescent="0.25">
      <c r="AN247" t="s">
        <v>863</v>
      </c>
    </row>
    <row r="248" spans="40:40" x14ac:dyDescent="0.25">
      <c r="AN248" t="s">
        <v>864</v>
      </c>
    </row>
    <row r="249" spans="40:40" x14ac:dyDescent="0.25">
      <c r="AN249" t="s">
        <v>865</v>
      </c>
    </row>
    <row r="250" spans="40:40" x14ac:dyDescent="0.25">
      <c r="AN250" t="s">
        <v>866</v>
      </c>
    </row>
    <row r="251" spans="40:40" x14ac:dyDescent="0.25">
      <c r="AN251" t="s">
        <v>867</v>
      </c>
    </row>
    <row r="252" spans="40:40" x14ac:dyDescent="0.25">
      <c r="AN252" t="s">
        <v>868</v>
      </c>
    </row>
    <row r="253" spans="40:40" x14ac:dyDescent="0.25">
      <c r="AN253" t="s">
        <v>869</v>
      </c>
    </row>
    <row r="254" spans="40:40" x14ac:dyDescent="0.25">
      <c r="AN254" t="s">
        <v>870</v>
      </c>
    </row>
    <row r="255" spans="40:40" x14ac:dyDescent="0.25">
      <c r="AN255" t="s">
        <v>871</v>
      </c>
    </row>
    <row r="256" spans="40:40" x14ac:dyDescent="0.25">
      <c r="AN256" t="s">
        <v>872</v>
      </c>
    </row>
    <row r="257" spans="40:40" x14ac:dyDescent="0.25">
      <c r="AN257" t="s">
        <v>873</v>
      </c>
    </row>
    <row r="258" spans="40:40" x14ac:dyDescent="0.25">
      <c r="AN258" t="s">
        <v>874</v>
      </c>
    </row>
    <row r="259" spans="40:40" x14ac:dyDescent="0.25">
      <c r="AN259" t="s">
        <v>875</v>
      </c>
    </row>
    <row r="260" spans="40:40" x14ac:dyDescent="0.25">
      <c r="AN260" t="s">
        <v>876</v>
      </c>
    </row>
    <row r="261" spans="40:40" x14ac:dyDescent="0.25">
      <c r="AN261" t="s">
        <v>877</v>
      </c>
    </row>
    <row r="262" spans="40:40" x14ac:dyDescent="0.25">
      <c r="AN262" t="s">
        <v>878</v>
      </c>
    </row>
    <row r="263" spans="40:40" x14ac:dyDescent="0.25">
      <c r="AN263" t="s">
        <v>891</v>
      </c>
    </row>
    <row r="264" spans="40:40" x14ac:dyDescent="0.25">
      <c r="AN264" t="s">
        <v>892</v>
      </c>
    </row>
    <row r="265" spans="40:40" x14ac:dyDescent="0.25">
      <c r="AN265" t="s">
        <v>1345</v>
      </c>
    </row>
    <row r="266" spans="40:40" x14ac:dyDescent="0.25">
      <c r="AN266" t="s">
        <v>1346</v>
      </c>
    </row>
    <row r="267" spans="40:40" x14ac:dyDescent="0.25">
      <c r="AN267" t="s">
        <v>1347</v>
      </c>
    </row>
    <row r="268" spans="40:40" x14ac:dyDescent="0.25">
      <c r="AN268" t="s">
        <v>1348</v>
      </c>
    </row>
    <row r="269" spans="40:40" x14ac:dyDescent="0.25">
      <c r="AN269" t="s">
        <v>1349</v>
      </c>
    </row>
    <row r="270" spans="40:40" x14ac:dyDescent="0.25">
      <c r="AN270" t="s">
        <v>1350</v>
      </c>
    </row>
    <row r="271" spans="40:40" x14ac:dyDescent="0.25">
      <c r="AN271" t="s">
        <v>895</v>
      </c>
    </row>
    <row r="272" spans="40:40" x14ac:dyDescent="0.25">
      <c r="AN272" t="s">
        <v>896</v>
      </c>
    </row>
    <row r="273" spans="40:40" x14ac:dyDescent="0.25">
      <c r="AN273" t="s">
        <v>897</v>
      </c>
    </row>
    <row r="274" spans="40:40" x14ac:dyDescent="0.25">
      <c r="AN274" t="s">
        <v>901</v>
      </c>
    </row>
    <row r="275" spans="40:40" x14ac:dyDescent="0.25">
      <c r="AN275" t="s">
        <v>902</v>
      </c>
    </row>
    <row r="276" spans="40:40" x14ac:dyDescent="0.25">
      <c r="AN276" t="s">
        <v>903</v>
      </c>
    </row>
    <row r="277" spans="40:40" x14ac:dyDescent="0.25">
      <c r="AN277" t="s">
        <v>904</v>
      </c>
    </row>
    <row r="278" spans="40:40" x14ac:dyDescent="0.25">
      <c r="AN278" t="s">
        <v>905</v>
      </c>
    </row>
    <row r="279" spans="40:40" x14ac:dyDescent="0.25">
      <c r="AN279" t="s">
        <v>906</v>
      </c>
    </row>
    <row r="280" spans="40:40" x14ac:dyDescent="0.25">
      <c r="AN280" t="s">
        <v>907</v>
      </c>
    </row>
    <row r="281" spans="40:40" x14ac:dyDescent="0.25">
      <c r="AN281" t="s">
        <v>908</v>
      </c>
    </row>
    <row r="282" spans="40:40" x14ac:dyDescent="0.25">
      <c r="AN282" t="s">
        <v>910</v>
      </c>
    </row>
    <row r="283" spans="40:40" x14ac:dyDescent="0.25">
      <c r="AN283" t="s">
        <v>911</v>
      </c>
    </row>
    <row r="284" spans="40:40" x14ac:dyDescent="0.25">
      <c r="AN284" t="s">
        <v>925</v>
      </c>
    </row>
    <row r="285" spans="40:40" x14ac:dyDescent="0.25">
      <c r="AN285" t="s">
        <v>926</v>
      </c>
    </row>
    <row r="286" spans="40:40" x14ac:dyDescent="0.25">
      <c r="AN286" t="s">
        <v>927</v>
      </c>
    </row>
  </sheetData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36</vt:i4>
      </vt:variant>
    </vt:vector>
  </HeadingPairs>
  <TitlesOfParts>
    <vt:vector size="52" baseType="lpstr">
      <vt:lpstr>release_notes</vt:lpstr>
      <vt:lpstr>literature_sources</vt:lpstr>
      <vt:lpstr>keywords</vt:lpstr>
      <vt:lpstr>material_batches</vt:lpstr>
      <vt:lpstr>reinforcement_materials</vt:lpstr>
      <vt:lpstr>geometries</vt:lpstr>
      <vt:lpstr>printing_variables</vt:lpstr>
      <vt:lpstr>reinforcement_layouts</vt:lpstr>
      <vt:lpstr>reinforcement_components</vt:lpstr>
      <vt:lpstr>specimens</vt:lpstr>
      <vt:lpstr>tests</vt:lpstr>
      <vt:lpstr>devices_and_supports</vt:lpstr>
      <vt:lpstr>loading_histories</vt:lpstr>
      <vt:lpstr>data</vt:lpstr>
      <vt:lpstr>validation</vt:lpstr>
      <vt:lpstr>vocab</vt:lpstr>
      <vt:lpstr>adhesive_type_list</vt:lpstr>
      <vt:lpstr>aggregate_type_list</vt:lpstr>
      <vt:lpstr>air_entrainment_type_list</vt:lpstr>
      <vt:lpstr>anchorage_type_list</vt:lpstr>
      <vt:lpstr>bar_nominal_area_mm2_list</vt:lpstr>
      <vt:lpstr>bar_nominal_diameter_mm_list</vt:lpstr>
      <vt:lpstr>cement_type_list</vt:lpstr>
      <vt:lpstr>curing_condition_list</vt:lpstr>
      <vt:lpstr>data_origin_type_list</vt:lpstr>
      <vt:lpstr>data_type_list</vt:lpstr>
      <vt:lpstr>device_type_list</vt:lpstr>
      <vt:lpstr>extraction_method_list</vt:lpstr>
      <vt:lpstr>fiber_type_list</vt:lpstr>
      <vt:lpstr>hydration_accelerator_type_list</vt:lpstr>
      <vt:lpstr>hygral_boundary_condition_list</vt:lpstr>
      <vt:lpstr>image_type_list</vt:lpstr>
      <vt:lpstr>loading_control_variable_list</vt:lpstr>
      <vt:lpstr>loading_mode_list</vt:lpstr>
      <vt:lpstr>material_class_list</vt:lpstr>
      <vt:lpstr>observed_mechanism_list</vt:lpstr>
      <vt:lpstr>orientation_list</vt:lpstr>
      <vt:lpstr>quantity_reported_type_list</vt:lpstr>
      <vt:lpstr>reinforcement_material_list</vt:lpstr>
      <vt:lpstr>reinforcement_type_list</vt:lpstr>
      <vt:lpstr>reported_quantity_list</vt:lpstr>
      <vt:lpstr>rheology_modifier_type_list</vt:lpstr>
      <vt:lpstr>source_type_list</vt:lpstr>
      <vt:lpstr>specimen_geometry_parameter_list</vt:lpstr>
      <vt:lpstr>specimen_geometry_type_list</vt:lpstr>
      <vt:lpstr>standard_designation_bar_list</vt:lpstr>
      <vt:lpstr>structural_form_list</vt:lpstr>
      <vt:lpstr>superplasticizer_type_list</vt:lpstr>
      <vt:lpstr>thermal_boundary_condition_list</vt:lpstr>
      <vt:lpstr>units_type_list</vt:lpstr>
      <vt:lpstr>water_reducer_type_list</vt:lpstr>
      <vt:lpstr>yes_no_list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Gianluca Cusatis</cp:lastModifiedBy>
  <cp:revision/>
  <dcterms:created xsi:type="dcterms:W3CDTF">2026-03-20T12:23:13Z</dcterms:created>
  <dcterms:modified xsi:type="dcterms:W3CDTF">2026-06-27T13:59:24Z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2026-06-09T11:05:31Z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81534ef4-e721-4e20-b351-7a4414bcb24b</vt:lpwstr>
  </property>
  <property fmtid="{D5CDD505-2E9C-101B-9397-08002B2CF9AE}" pid="7" name="MSIP_Label_defa4170-0d19-0005-0004-bc88714345d2_ActionId">
    <vt:lpwstr>75a4fd39-7f3b-44ed-b60f-93ba292f30dc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